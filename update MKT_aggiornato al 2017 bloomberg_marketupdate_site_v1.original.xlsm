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pps\python\Projects\marketupdate_client\"/>
    </mc:Choice>
  </mc:AlternateContent>
  <xr:revisionPtr revIDLastSave="0" documentId="10_ncr:100000_{CD5BD241-4B11-47A3-A345-6A6140310328}" xr6:coauthVersionLast="31" xr6:coauthVersionMax="31" xr10:uidLastSave="{00000000-0000-0000-0000-000000000000}"/>
  <bookViews>
    <workbookView xWindow="120" yWindow="60156" windowWidth="19092" windowHeight="9672" firstSheet="1" activeTab="2" xr2:uid="{00000000-000D-0000-FFFF-FFFF00000000}"/>
  </bookViews>
  <sheets>
    <sheet name="Sheet1" sheetId="3" r:id="rId1"/>
    <sheet name="update_mail" sheetId="1" r:id="rId2"/>
    <sheet name="marketupdate_data" sheetId="4" r:id="rId3"/>
    <sheet name="update_mail1" sheetId="6" r:id="rId4"/>
    <sheet name="Utima rilevazione inviata" sheetId="2" r:id="rId5"/>
  </sheets>
  <functionGroups builtInGroupCount="19"/>
  <definedNames>
    <definedName name="addressbcc" localSheetId="3">update_mail1!$E$42:$E$56</definedName>
    <definedName name="addressbcc">update_mail!$E$42:$E$56</definedName>
    <definedName name="addresscc" localSheetId="3">update_mail1!$E$25:$E$39</definedName>
    <definedName name="addresscc">update_mail!$E$25:$E$39</definedName>
    <definedName name="addressto" localSheetId="3">update_mail1!$E$9:$E$22</definedName>
    <definedName name="addressto">update_mail!$E$9:$E$22</definedName>
    <definedName name="adresscc" localSheetId="3">update_mail1!$E$25:$E$39</definedName>
    <definedName name="adresscc">update_mail!$E$25:$E$39</definedName>
    <definedName name="BODYTEXT" localSheetId="3">update_mail1!$B$5:$B$179</definedName>
    <definedName name="BODYTEXT">update_mail!$B$5:$B$179</definedName>
    <definedName name="CIQWBGuid" hidden="1">"update MKT_aggiornato al 20151218 - Modificato da Kossyvas-v2.xlsm"</definedName>
    <definedName name="COPYBODYTEXT">'Utima rilevazione inviata'!$B$3:$B$120</definedName>
    <definedName name="COPYDATAORA">'Utima rilevazione inviata'!$E$3</definedName>
    <definedName name="DATAORA" localSheetId="3">update_mail1!$E$2</definedName>
    <definedName name="DATAORA">update_mail!$E$2</definedName>
    <definedName name="hld">Sheet1!$A$2:$A$292</definedName>
    <definedName name="TabellaOrari" localSheetId="3">update_mail1!$G$9:$G$30</definedName>
    <definedName name="TabellaOrari">update_mail!$G$9:$G$30</definedName>
    <definedName name="TEXTOBJECT" localSheetId="3">update_mail1!$E$6</definedName>
    <definedName name="TEXTOBJECT">update_mail!$E$6</definedName>
    <definedName name="yyy" localSheetId="3">update_mail1!$G$9:$G$11</definedName>
    <definedName name="yyy">update_mail!$G$9:$G$11</definedName>
  </definedNames>
  <calcPr calcId="179017"/>
</workbook>
</file>

<file path=xl/calcChain.xml><?xml version="1.0" encoding="utf-8"?>
<calcChain xmlns="http://schemas.openxmlformats.org/spreadsheetml/2006/main">
  <c r="B56" i="6" l="1"/>
  <c r="C73" i="4"/>
  <c r="C70" i="4"/>
  <c r="C67" i="4"/>
  <c r="C64" i="4"/>
  <c r="C61" i="4"/>
  <c r="C58" i="4"/>
  <c r="C66" i="4"/>
  <c r="C63" i="4"/>
  <c r="C60" i="4"/>
  <c r="C57" i="4"/>
  <c r="C72" i="4"/>
  <c r="C69" i="4"/>
  <c r="C74" i="4"/>
  <c r="C71" i="4"/>
  <c r="C68" i="4"/>
  <c r="C65" i="4"/>
  <c r="C62" i="4"/>
  <c r="C59" i="4"/>
  <c r="C56" i="4"/>
  <c r="C55" i="4"/>
  <c r="C54" i="4"/>
  <c r="C53" i="4"/>
  <c r="C51" i="4"/>
  <c r="C49" i="4"/>
  <c r="C50" i="4"/>
  <c r="C52" i="4"/>
  <c r="C48" i="4"/>
  <c r="C39" i="4"/>
  <c r="C41" i="4"/>
  <c r="C43" i="4"/>
  <c r="C45" i="4"/>
  <c r="C47" i="4"/>
  <c r="C37" i="4"/>
  <c r="C46" i="4"/>
  <c r="C44" i="4"/>
  <c r="C42" i="4"/>
  <c r="C40" i="4"/>
  <c r="C38" i="4"/>
  <c r="C36" i="4"/>
  <c r="C35" i="4"/>
  <c r="C33" i="4"/>
  <c r="C31" i="4"/>
  <c r="C29" i="4"/>
  <c r="C34" i="4"/>
  <c r="C32" i="4"/>
  <c r="C30" i="4"/>
  <c r="C28" i="4"/>
  <c r="C26" i="4"/>
  <c r="C27" i="4"/>
  <c r="C24" i="4"/>
  <c r="C25" i="4"/>
  <c r="B26" i="6"/>
  <c r="B27" i="6"/>
  <c r="C22" i="4"/>
  <c r="C23" i="4"/>
  <c r="C21" i="4"/>
  <c r="C20" i="4"/>
  <c r="C19" i="4"/>
  <c r="C18" i="4"/>
  <c r="C17" i="4"/>
  <c r="C16" i="4"/>
  <c r="C15" i="4"/>
  <c r="C14" i="4"/>
  <c r="C6" i="4"/>
  <c r="C4" i="4"/>
  <c r="C13" i="4"/>
  <c r="C12" i="4"/>
  <c r="C11" i="4"/>
  <c r="C10" i="4"/>
  <c r="C9" i="4"/>
  <c r="C8" i="4"/>
  <c r="C7" i="4"/>
  <c r="E2" i="6"/>
  <c r="C3" i="4"/>
  <c r="C5" i="4"/>
  <c r="B6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76" i="4" s="1"/>
  <c r="B91" i="6"/>
  <c r="B75" i="4" s="1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5" i="6"/>
  <c r="E6" i="6" l="1"/>
  <c r="C2" i="4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3" i="1"/>
  <c r="J72" i="1"/>
  <c r="L72" i="1"/>
  <c r="K72" i="1"/>
  <c r="M72" i="1"/>
  <c r="B74" i="1" l="1"/>
  <c r="B75" i="1"/>
  <c r="B76" i="1"/>
  <c r="B69" i="1"/>
  <c r="J68" i="1"/>
  <c r="M68" i="1"/>
  <c r="K68" i="1"/>
  <c r="L68" i="1"/>
  <c r="B70" i="1" l="1"/>
  <c r="B71" i="1"/>
  <c r="B72" i="1"/>
  <c r="B65" i="1"/>
  <c r="M64" i="1"/>
  <c r="L64" i="1"/>
  <c r="J64" i="1"/>
  <c r="K64" i="1"/>
  <c r="B66" i="1" l="1"/>
  <c r="B67" i="1"/>
  <c r="B68" i="1"/>
  <c r="B61" i="1"/>
  <c r="M60" i="1"/>
  <c r="K60" i="1"/>
  <c r="J60" i="1"/>
  <c r="L60" i="1"/>
  <c r="B62" i="1" l="1"/>
  <c r="B63" i="1"/>
  <c r="B64" i="1"/>
  <c r="B57" i="1"/>
  <c r="J56" i="1"/>
  <c r="K56" i="1"/>
  <c r="M56" i="1"/>
  <c r="L56" i="1"/>
  <c r="B58" i="1" l="1"/>
  <c r="B59" i="1"/>
  <c r="B60" i="1"/>
  <c r="B53" i="1"/>
  <c r="M52" i="1"/>
  <c r="L52" i="1"/>
  <c r="J52" i="1"/>
  <c r="K52" i="1"/>
  <c r="B54" i="1" l="1"/>
  <c r="B55" i="1"/>
  <c r="B56" i="1"/>
  <c r="B49" i="1"/>
  <c r="M48" i="1"/>
  <c r="L48" i="1"/>
  <c r="J48" i="1"/>
  <c r="K48" i="1"/>
  <c r="B50" i="1" l="1"/>
  <c r="B51" i="1"/>
  <c r="B52" i="1"/>
  <c r="B45" i="1"/>
  <c r="J44" i="1"/>
  <c r="K44" i="1"/>
  <c r="L44" i="1"/>
  <c r="M44" i="1"/>
  <c r="B46" i="1" l="1"/>
  <c r="B47" i="1"/>
  <c r="B48" i="1"/>
  <c r="B44" i="1"/>
  <c r="K41" i="1"/>
  <c r="J41" i="1"/>
  <c r="L41" i="1" l="1"/>
  <c r="B43" i="1" s="1"/>
  <c r="K40" i="1"/>
  <c r="J40" i="1"/>
  <c r="L40" i="1" l="1"/>
  <c r="B42" i="1" s="1"/>
  <c r="B40" i="1"/>
  <c r="J39" i="1"/>
  <c r="K39" i="1"/>
  <c r="L39" i="1" l="1"/>
  <c r="B41" i="1" s="1"/>
  <c r="K37" i="1"/>
  <c r="J37" i="1"/>
  <c r="L37" i="1" l="1"/>
  <c r="B39" i="1" s="1"/>
  <c r="J36" i="1"/>
  <c r="K36" i="1"/>
  <c r="L36" i="1" l="1"/>
  <c r="B38" i="1" s="1"/>
  <c r="J35" i="1"/>
  <c r="K35" i="1"/>
  <c r="L35" i="1" l="1"/>
  <c r="B37" i="1" s="1"/>
  <c r="J34" i="1"/>
  <c r="K34" i="1"/>
  <c r="L34" i="1" l="1"/>
  <c r="B36" i="1" s="1"/>
  <c r="J33" i="1"/>
  <c r="K33" i="1"/>
  <c r="L33" i="1" l="1"/>
  <c r="B35" i="1" s="1"/>
  <c r="B33" i="1"/>
  <c r="K32" i="1"/>
  <c r="J32" i="1"/>
  <c r="L32" i="1" l="1"/>
  <c r="B34" i="1" s="1"/>
  <c r="J30" i="1"/>
  <c r="K30" i="1"/>
  <c r="L30" i="1" l="1"/>
  <c r="B32" i="1" s="1"/>
  <c r="K29" i="1"/>
  <c r="J29" i="1"/>
  <c r="L29" i="1" l="1"/>
  <c r="B31" i="1" s="1"/>
  <c r="J28" i="1"/>
  <c r="K28" i="1"/>
  <c r="L28" i="1" l="1"/>
  <c r="B30" i="1" s="1"/>
  <c r="B28" i="1"/>
  <c r="J27" i="1"/>
  <c r="K27" i="1"/>
  <c r="L27" i="1" l="1"/>
  <c r="B29" i="1" s="1"/>
  <c r="J25" i="1"/>
  <c r="K25" i="1"/>
  <c r="B27" i="1" l="1"/>
  <c r="B25" i="1"/>
  <c r="K24" i="1"/>
  <c r="J24" i="1"/>
  <c r="B26" i="1" l="1"/>
  <c r="J22" i="1"/>
  <c r="J21" i="1"/>
  <c r="B24" i="1" l="1"/>
  <c r="B23" i="1"/>
  <c r="B21" i="1"/>
  <c r="J20" i="1"/>
  <c r="B22" i="1" l="1"/>
  <c r="J17" i="1"/>
  <c r="J18" i="1"/>
  <c r="B20" i="1" l="1"/>
  <c r="B19" i="1"/>
  <c r="B17" i="1"/>
  <c r="J16" i="1"/>
  <c r="K14" i="1"/>
  <c r="J14" i="1"/>
  <c r="B18" i="1" l="1"/>
  <c r="M14" i="1"/>
  <c r="L14" i="1" s="1"/>
  <c r="B16" i="1" s="1"/>
  <c r="L13" i="1"/>
  <c r="J13" i="1"/>
  <c r="K13" i="1"/>
  <c r="M13" i="1" l="1"/>
  <c r="B15" i="1" s="1"/>
  <c r="P12" i="1"/>
  <c r="B14" i="1" l="1"/>
  <c r="P7" i="1"/>
  <c r="P9" i="1"/>
  <c r="P6" i="1"/>
  <c r="P8" i="1"/>
  <c r="B13" i="1" l="1"/>
  <c r="B12" i="1"/>
  <c r="B5" i="1"/>
  <c r="J4" i="1"/>
  <c r="J3" i="1"/>
  <c r="P4" i="1"/>
  <c r="M3" i="1"/>
  <c r="P5" i="1"/>
  <c r="M4" i="1"/>
  <c r="P3" i="1"/>
  <c r="B8" i="1" l="1"/>
  <c r="B6" i="1"/>
  <c r="B7" i="1"/>
  <c r="B11" i="1"/>
  <c r="B10" i="1"/>
  <c r="J9" i="1"/>
  <c r="B9" i="1"/>
  <c r="E2" i="1"/>
  <c r="E6" i="1" l="1"/>
  <c r="A70" i="3"/>
  <c r="A71" i="3" s="1"/>
  <c r="A72" i="3" s="1"/>
  <c r="A73" i="3" s="1"/>
</calcChain>
</file>

<file path=xl/sharedStrings.xml><?xml version="1.0" encoding="utf-8"?>
<sst xmlns="http://schemas.openxmlformats.org/spreadsheetml/2006/main" count="427" uniqueCount="165">
  <si>
    <t>UPDATE MERCATO</t>
  </si>
  <si>
    <t>Object</t>
  </si>
  <si>
    <t>To</t>
  </si>
  <si>
    <t>CC</t>
  </si>
  <si>
    <t>Bcc</t>
  </si>
  <si>
    <t>(COPYBODYTEXT)</t>
  </si>
  <si>
    <t>(COPYDATAORA)</t>
  </si>
  <si>
    <t>Orari</t>
  </si>
  <si>
    <t>CHECK</t>
  </si>
  <si>
    <t>del giorno dopo!!!!</t>
  </si>
  <si>
    <t>TARGET</t>
  </si>
  <si>
    <t>MILAN</t>
  </si>
  <si>
    <t>Cassa Depositi e Prestiti SpA&lt;br&gt;</t>
  </si>
  <si>
    <t>Via Goito 4, I-00185 Roma&lt;br&gt;</t>
  </si>
  <si>
    <t xml:space="preserve"> Per problemi di visualizzazione contattare Tel.: +39-06-4221.3361/4153&lt;br&gt;</t>
  </si>
  <si>
    <t>&lt;hr&gt;</t>
  </si>
  <si>
    <t>fabrizio.palermo@cdp.it</t>
  </si>
  <si>
    <t>davide.colaccino@cdp.it</t>
  </si>
  <si>
    <t>ufficio.stampa@cdp.it</t>
  </si>
  <si>
    <t>gruppofinanzaeraccolta@cdp.it</t>
  </si>
  <si>
    <t>francesco.debartolo@cdp.it</t>
  </si>
  <si>
    <t>massimiliano.cotechini@cdp.it</t>
  </si>
  <si>
    <t>claudio.costamagna@cdp.it</t>
  </si>
  <si>
    <t>fabio.gallia@cdp.it</t>
  </si>
  <si>
    <t>=+"&lt;B&gt;&lt;U&gt;"&amp;"In calce l'ultimo aggiornamento  al "&amp;TEXT(COPYDATAORA;"gg/mm/aa h:m")&amp;"&lt;/B&gt;&lt;/u&gt;&lt;br&gt;"</t>
  </si>
  <si>
    <t>fabio.massoli@cdp.it</t>
  </si>
  <si>
    <t>gabriele.lucentini@cdp.it</t>
  </si>
  <si>
    <t xml:space="preserve"> </t>
  </si>
  <si>
    <t>&lt;img src="M:\StrutturazioneProdotti\Attivo\GS1\Progetto invio automatico MarketUpdate\Logo CDP.png" alt="Logo CDP"&gt;&lt;br&gt;</t>
  </si>
  <si>
    <t>&lt;FONT FACE="Arial Black"&gt;Finance&lt;br&gt;</t>
  </si>
  <si>
    <t>valentina.tanga@cdp.it</t>
  </si>
  <si>
    <t>giulio.dalmagro@cdp.it</t>
  </si>
  <si>
    <t>pasquale.rossi@cdp.it</t>
  </si>
  <si>
    <t>luca.spagnoli@cdp.it</t>
  </si>
  <si>
    <t>luca.chiappetta@cdp.it</t>
  </si>
  <si>
    <t>GBTPGR10 Index</t>
  </si>
  <si>
    <t>SP040</t>
  </si>
  <si>
    <t>EUR Curncy</t>
  </si>
  <si>
    <t>EURCHF Curncy</t>
  </si>
  <si>
    <t>EURGBP Curncy</t>
  </si>
  <si>
    <t>PX_MID</t>
  </si>
  <si>
    <t>XAU CMPN Curncy</t>
  </si>
  <si>
    <t>PX_YEST_CLOSE</t>
  </si>
  <si>
    <t>CO1 Comdty</t>
  </si>
  <si>
    <t>PX_LAST</t>
  </si>
  <si>
    <t>FTSEMIB Index</t>
  </si>
  <si>
    <t>SX5E Index</t>
  </si>
  <si>
    <t>INDU Index</t>
  </si>
  <si>
    <t>NKY Index</t>
  </si>
  <si>
    <t>EUR006M Index</t>
  </si>
  <si>
    <t>EUSA5 Index</t>
  </si>
  <si>
    <t>EUSA10 Index</t>
  </si>
  <si>
    <t>%CHG</t>
  </si>
  <si>
    <t>IKA comdty</t>
  </si>
  <si>
    <t>CHG_NET_PREV_DAY</t>
  </si>
  <si>
    <t>ISP IM Equity</t>
  </si>
  <si>
    <t>UCG IM Equity</t>
  </si>
  <si>
    <t>UBI IM Equity</t>
  </si>
  <si>
    <t>G IM Equity</t>
  </si>
  <si>
    <t>UNI IM Equity</t>
  </si>
  <si>
    <t>TIT IM Equity</t>
  </si>
  <si>
    <t>GLE FP Equity</t>
  </si>
  <si>
    <t>BNP FP Equity</t>
  </si>
  <si>
    <t>DBK GR Equity</t>
  </si>
  <si>
    <t>ENI IM Equity</t>
  </si>
  <si>
    <t>PX_VOLUME</t>
  </si>
  <si>
    <t>CHG_PCT_1D</t>
  </si>
  <si>
    <t>SRG IM Equity</t>
  </si>
  <si>
    <t>SPM IM Equity</t>
  </si>
  <si>
    <t>TRN IM Equity</t>
  </si>
  <si>
    <t>FCT IM Equity</t>
  </si>
  <si>
    <t>IG IM Equity</t>
  </si>
  <si>
    <t>PST IM Equity</t>
  </si>
  <si>
    <t>RX1 comdty</t>
  </si>
  <si>
    <t>GDBR10 Index</t>
  </si>
  <si>
    <t>GBTPGR5 Index</t>
  </si>
  <si>
    <t>GDBR5 Index</t>
  </si>
  <si>
    <t>GSPG10Y Index</t>
  </si>
  <si>
    <t>GFRN10 Index</t>
  </si>
  <si>
    <t>CTITL10Y Govt</t>
  </si>
  <si>
    <t>CTITL5Y Govt</t>
  </si>
  <si>
    <t>CTDEM5Y Govt</t>
  </si>
  <si>
    <t>CTDEM10Y Govt</t>
  </si>
  <si>
    <t>BenchMark</t>
  </si>
  <si>
    <t>IK1 Comdty</t>
  </si>
  <si>
    <t>BMK sprd 10Y IT-DE</t>
  </si>
  <si>
    <t>BMK sprd 10Y SP-DE</t>
  </si>
  <si>
    <t>BMK sprd 5Y IT-DE</t>
  </si>
  <si>
    <t>YAS_ISPREAD_TO_GOVT</t>
  </si>
  <si>
    <t>XS1490724975 Corp</t>
  </si>
  <si>
    <t>andrea.nuzzi@cdp.it</t>
  </si>
  <si>
    <t>Portfolio Management&lt;br&gt;</t>
  </si>
  <si>
    <t>GSPT10Y Index</t>
  </si>
  <si>
    <t>ASSET_SWAP_SPD_MID</t>
  </si>
  <si>
    <t>prova@cdp.it</t>
  </si>
  <si>
    <t xml:space="preserve">BTP 5Y-ASW </t>
  </si>
  <si>
    <t>Titoli Governativi</t>
  </si>
  <si>
    <t>Spread</t>
  </si>
  <si>
    <t>bps</t>
  </si>
  <si>
    <t>%</t>
  </si>
  <si>
    <t>Mid Yield</t>
  </si>
  <si>
    <t xml:space="preserve">BTP 10Y-ASW </t>
  </si>
  <si>
    <t>BMK 5Y IT-DE</t>
  </si>
  <si>
    <t>BMK 10Y IT-DE</t>
  </si>
  <si>
    <t>BMK 10Y IT-SP</t>
  </si>
  <si>
    <t>BMK 10Y IT-PO</t>
  </si>
  <si>
    <t>BMK 10Y SP-DE</t>
  </si>
  <si>
    <t>BMK 10Y FR-DE</t>
  </si>
  <si>
    <t>BMK 10Y BEI-DE</t>
  </si>
  <si>
    <t>BUND Future</t>
  </si>
  <si>
    <t>BTP Future</t>
  </si>
  <si>
    <t>Tassi</t>
  </si>
  <si>
    <t>Cambi</t>
  </si>
  <si>
    <t>Commodities</t>
  </si>
  <si>
    <t>OIL</t>
  </si>
  <si>
    <t>GOLD</t>
  </si>
  <si>
    <t>Indici azionari</t>
  </si>
  <si>
    <t>Market Update</t>
  </si>
  <si>
    <t xml:space="preserve">Euribor 6m </t>
  </si>
  <si>
    <t xml:space="preserve">Swap 5Y    </t>
  </si>
  <si>
    <t xml:space="preserve">Swap 10Y   </t>
  </si>
  <si>
    <t xml:space="preserve">EUR vs USD </t>
  </si>
  <si>
    <t xml:space="preserve">EUR vs CHF </t>
  </si>
  <si>
    <t xml:space="preserve">EUR vs GBP </t>
  </si>
  <si>
    <t xml:space="preserve">FTSE MIB  </t>
  </si>
  <si>
    <t>SX5E</t>
  </si>
  <si>
    <t>DJ 30</t>
  </si>
  <si>
    <t>NIKKEI</t>
  </si>
  <si>
    <t>Titoli azionari italiani</t>
  </si>
  <si>
    <t>ISP</t>
  </si>
  <si>
    <t>UCG</t>
  </si>
  <si>
    <t>UBI</t>
  </si>
  <si>
    <t>Generali</t>
  </si>
  <si>
    <t>Unipol</t>
  </si>
  <si>
    <t>Telecom</t>
  </si>
  <si>
    <t>Titoli azionari europei</t>
  </si>
  <si>
    <t xml:space="preserve">SocGen </t>
  </si>
  <si>
    <t>Bnp</t>
  </si>
  <si>
    <t>Deutsche</t>
  </si>
  <si>
    <t>ENI</t>
  </si>
  <si>
    <t>Snam</t>
  </si>
  <si>
    <t>Price</t>
  </si>
  <si>
    <t>Delta</t>
  </si>
  <si>
    <t>Volumes</t>
  </si>
  <si>
    <t>€</t>
  </si>
  <si>
    <t>Terna</t>
  </si>
  <si>
    <t>Fincantieri</t>
  </si>
  <si>
    <t>Italgas</t>
  </si>
  <si>
    <t>Poste Italiane</t>
  </si>
  <si>
    <t>Telecom Italia</t>
  </si>
  <si>
    <t>Partecipazioni CDP aziende quotate</t>
  </si>
  <si>
    <t>Futures Titoli Governativi</t>
  </si>
  <si>
    <t>Ticks</t>
  </si>
  <si>
    <t>pts</t>
  </si>
  <si>
    <t>Yield</t>
  </si>
  <si>
    <t>Value</t>
  </si>
  <si>
    <t>Ticker</t>
  </si>
  <si>
    <t>Topic</t>
  </si>
  <si>
    <t>Precision</t>
  </si>
  <si>
    <t>Sequence</t>
  </si>
  <si>
    <t>Description</t>
  </si>
  <si>
    <t>Last market update</t>
  </si>
  <si>
    <t>Timestamp</t>
  </si>
  <si>
    <t>Unit</t>
  </si>
  <si>
    <t>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</si>
</sst>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"/>
    <numFmt numFmtId="166" formatCode="_-* #,##0.000_-;\-* #,##0.000_-;_-* &quot;-&quot;??_-;_-@_-"/>
    <numFmt numFmtId="167" formatCode="[$-F400]h:mm:ss\ AM/PM"/>
    <numFmt numFmtId="168" formatCode="[$-F800]dddd\,\ mmmm\ dd\,\ yyyy"/>
  </numFmts>
  <fonts count="13" x14ac:knownFonts="1"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20"/>
      <color indexed="8"/>
      <name val="Calibri"/>
      <family val="2"/>
    </font>
    <font>
      <sz val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0" fontId="2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NumberFormat="1" applyBorder="1" applyAlignment="1"/>
    <xf numFmtId="0" fontId="0" fillId="0" borderId="0" xfId="0" applyBorder="1" applyAlignment="1">
      <alignment horizontal="center"/>
    </xf>
    <xf numFmtId="165" fontId="0" fillId="0" borderId="0" xfId="0" applyNumberFormat="1" applyBorder="1"/>
    <xf numFmtId="0" fontId="2" fillId="0" borderId="0" xfId="0" applyFont="1"/>
    <xf numFmtId="166" fontId="0" fillId="0" borderId="0" xfId="1" applyNumberFormat="1" applyFont="1" applyBorder="1"/>
    <xf numFmtId="0" fontId="0" fillId="0" borderId="0" xfId="0" applyAlignment="1">
      <alignment horizontal="right"/>
    </xf>
    <xf numFmtId="164" fontId="0" fillId="0" borderId="0" xfId="0" applyNumberFormat="1"/>
    <xf numFmtId="15" fontId="0" fillId="0" borderId="0" xfId="0" applyNumberFormat="1"/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3" xfId="0" applyNumberFormat="1" applyBorder="1" applyAlignment="1">
      <alignment wrapText="1"/>
    </xf>
    <xf numFmtId="22" fontId="0" fillId="0" borderId="0" xfId="0" applyNumberFormat="1"/>
    <xf numFmtId="0" fontId="0" fillId="0" borderId="1" xfId="0" applyBorder="1"/>
    <xf numFmtId="0" fontId="0" fillId="3" borderId="1" xfId="0" applyFill="1" applyBorder="1"/>
    <xf numFmtId="0" fontId="0" fillId="0" borderId="0" xfId="0" applyNumberFormat="1" applyFont="1" applyBorder="1" applyAlignment="1"/>
    <xf numFmtId="0" fontId="0" fillId="0" borderId="3" xfId="0" applyBorder="1"/>
    <xf numFmtId="0" fontId="0" fillId="0" borderId="5" xfId="0" applyBorder="1"/>
    <xf numFmtId="22" fontId="0" fillId="0" borderId="1" xfId="0" applyNumberFormat="1" applyBorder="1"/>
    <xf numFmtId="167" fontId="0" fillId="0" borderId="1" xfId="0" applyNumberFormat="1" applyBorder="1"/>
    <xf numFmtId="0" fontId="0" fillId="4" borderId="2" xfId="0" applyFill="1" applyBorder="1"/>
    <xf numFmtId="0" fontId="0" fillId="4" borderId="4" xfId="0" applyFill="1" applyBorder="1"/>
    <xf numFmtId="167" fontId="0" fillId="5" borderId="1" xfId="0" applyNumberFormat="1" applyFill="1" applyBorder="1"/>
    <xf numFmtId="0" fontId="7" fillId="0" borderId="0" xfId="0" applyFont="1"/>
    <xf numFmtId="168" fontId="0" fillId="0" borderId="0" xfId="0" applyNumberFormat="1"/>
    <xf numFmtId="0" fontId="8" fillId="0" borderId="2" xfId="2" applyBorder="1" applyAlignment="1" applyProtection="1"/>
    <xf numFmtId="0" fontId="0" fillId="0" borderId="0" xfId="0" applyBorder="1" applyAlignment="1">
      <alignment wrapText="1"/>
    </xf>
    <xf numFmtId="0" fontId="0" fillId="0" borderId="0" xfId="0" applyNumberFormat="1" applyBorder="1" applyAlignment="1">
      <alignment wrapText="1"/>
    </xf>
    <xf numFmtId="0" fontId="10" fillId="0" borderId="2" xfId="0" applyFont="1" applyBorder="1"/>
    <xf numFmtId="0" fontId="10" fillId="0" borderId="3" xfId="0" applyFont="1" applyBorder="1" applyAlignment="1">
      <alignment wrapText="1"/>
    </xf>
    <xf numFmtId="0" fontId="0" fillId="0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7" borderId="3" xfId="0" applyFill="1" applyBorder="1" applyAlignment="1">
      <alignment wrapText="1"/>
    </xf>
    <xf numFmtId="0" fontId="9" fillId="0" borderId="3" xfId="0" applyFont="1" applyFill="1" applyBorder="1"/>
    <xf numFmtId="0" fontId="10" fillId="0" borderId="3" xfId="0" applyFont="1" applyBorder="1"/>
    <xf numFmtId="0" fontId="0" fillId="0" borderId="0" xfId="0" quotePrefix="1" applyBorder="1"/>
    <xf numFmtId="167" fontId="11" fillId="0" borderId="1" xfId="0" applyNumberFormat="1" applyFont="1" applyBorder="1"/>
    <xf numFmtId="0" fontId="0" fillId="0" borderId="0" xfId="0"/>
    <xf numFmtId="0" fontId="0" fillId="0" borderId="3" xfId="0" applyBorder="1" applyAlignment="1">
      <alignment wrapText="1"/>
    </xf>
    <xf numFmtId="0" fontId="0" fillId="0" borderId="3" xfId="0" applyNumberFormat="1" applyBorder="1" applyAlignment="1">
      <alignment wrapText="1"/>
    </xf>
    <xf numFmtId="0" fontId="0" fillId="0" borderId="4" xfId="0" applyNumberFormat="1" applyBorder="1" applyAlignment="1">
      <alignment wrapText="1"/>
    </xf>
    <xf numFmtId="0" fontId="0" fillId="0" borderId="3" xfId="0" applyBorder="1"/>
    <xf numFmtId="0" fontId="0" fillId="0" borderId="2" xfId="0" applyBorder="1" applyAlignment="1">
      <alignment wrapText="1"/>
    </xf>
    <xf numFmtId="168" fontId="0" fillId="8" borderId="0" xfId="0" applyNumberFormat="1" applyFill="1"/>
    <xf numFmtId="2" fontId="0" fillId="0" borderId="0" xfId="0" applyNumberFormat="1" applyBorder="1"/>
    <xf numFmtId="164" fontId="0" fillId="0" borderId="0" xfId="0" applyNumberFormat="1"/>
    <xf numFmtId="0" fontId="2" fillId="0" borderId="1" xfId="0" applyFont="1" applyBorder="1"/>
    <xf numFmtId="10" fontId="0" fillId="0" borderId="1" xfId="3" applyNumberFormat="1" applyFont="1" applyBorder="1"/>
    <xf numFmtId="0" fontId="0" fillId="0" borderId="1" xfId="0" applyFill="1" applyBorder="1"/>
    <xf numFmtId="164" fontId="0" fillId="0" borderId="1" xfId="1" applyFont="1" applyBorder="1"/>
    <xf numFmtId="0" fontId="0" fillId="0" borderId="0" xfId="0" applyFont="1"/>
    <xf numFmtId="9" fontId="0" fillId="0" borderId="1" xfId="0" applyNumberFormat="1" applyBorder="1"/>
    <xf numFmtId="0" fontId="0" fillId="0" borderId="3" xfId="0" applyFont="1" applyBorder="1"/>
    <xf numFmtId="0" fontId="0" fillId="9" borderId="0" xfId="0" applyFill="1"/>
    <xf numFmtId="0" fontId="0" fillId="9" borderId="0" xfId="0" applyFont="1" applyFill="1"/>
    <xf numFmtId="0" fontId="0" fillId="0" borderId="5" xfId="0" applyFont="1" applyBorder="1"/>
    <xf numFmtId="0" fontId="0" fillId="0" borderId="5" xfId="0" applyFont="1" applyFill="1" applyBorder="1"/>
    <xf numFmtId="22" fontId="0" fillId="9" borderId="0" xfId="0" applyNumberFormat="1" applyFill="1" applyBorder="1"/>
  </cellXfs>
  <cellStyles count="4">
    <cellStyle name="Collegamento ipertestuale" xfId="2" builtinId="8"/>
    <cellStyle name="Migliaia" xfId="1" builtinId="3"/>
    <cellStyle name="Normale" xfId="0" builtinId="0"/>
    <cellStyle name="Percentual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19050</xdr:rowOff>
    </xdr:from>
    <xdr:to>
      <xdr:col>21</xdr:col>
      <xdr:colOff>137833</xdr:colOff>
      <xdr:row>7</xdr:row>
      <xdr:rowOff>152400</xdr:rowOff>
    </xdr:to>
    <xdr:pic>
      <xdr:nvPicPr>
        <xdr:cNvPr id="1032" name="Picture 1" descr="r_logo.bmp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383500" y="1638300"/>
          <a:ext cx="742950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4655820</xdr:colOff>
          <xdr:row>0</xdr:row>
          <xdr:rowOff>182880</xdr:rowOff>
        </xdr:from>
        <xdr:to>
          <xdr:col>3</xdr:col>
          <xdr:colOff>60960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954174</xdr:colOff>
      <xdr:row>0</xdr:row>
      <xdr:rowOff>11205</xdr:rowOff>
    </xdr:from>
    <xdr:to>
      <xdr:col>4</xdr:col>
      <xdr:colOff>2723023</xdr:colOff>
      <xdr:row>4</xdr:row>
      <xdr:rowOff>89647</xdr:rowOff>
    </xdr:to>
    <xdr:pic macro="[0]!Send_Mail_Notes_Unformatted_Rangedata">
      <xdr:nvPicPr>
        <xdr:cNvPr id="3" name="Graphic 2" descr="Sen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22527" y="11205"/>
          <a:ext cx="1768849" cy="98611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914400</xdr:colOff>
      <xdr:row>10</xdr:row>
      <xdr:rowOff>6724</xdr:rowOff>
    </xdr:to>
    <xdr:pic>
      <xdr:nvPicPr>
        <xdr:cNvPr id="5" name="Graphic 4" descr="Play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76265" y="1434353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19050</xdr:rowOff>
    </xdr:from>
    <xdr:to>
      <xdr:col>21</xdr:col>
      <xdr:colOff>137833</xdr:colOff>
      <xdr:row>7</xdr:row>
      <xdr:rowOff>152400</xdr:rowOff>
    </xdr:to>
    <xdr:pic>
      <xdr:nvPicPr>
        <xdr:cNvPr id="2" name="Picture 1" descr="r_logo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914340" y="1588770"/>
          <a:ext cx="747433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4655820</xdr:colOff>
          <xdr:row>1</xdr:row>
          <xdr:rowOff>182880</xdr:rowOff>
        </xdr:from>
        <xdr:to>
          <xdr:col>3</xdr:col>
          <xdr:colOff>60960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954174</xdr:colOff>
      <xdr:row>0</xdr:row>
      <xdr:rowOff>11205</xdr:rowOff>
    </xdr:from>
    <xdr:to>
      <xdr:col>4</xdr:col>
      <xdr:colOff>2723023</xdr:colOff>
      <xdr:row>4</xdr:row>
      <xdr:rowOff>89647</xdr:rowOff>
    </xdr:to>
    <xdr:pic macro="[0]!Send_Mail_Notes_Unformatted_Rangedata">
      <xdr:nvPicPr>
        <xdr:cNvPr id="4" name="Graphic 2" descr="Sen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918854" y="11205"/>
          <a:ext cx="1768849" cy="954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914400</xdr:colOff>
      <xdr:row>10</xdr:row>
      <xdr:rowOff>6724</xdr:rowOff>
    </xdr:to>
    <xdr:pic>
      <xdr:nvPicPr>
        <xdr:cNvPr id="5" name="Graphic 4" descr="Play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227320" y="1386840"/>
          <a:ext cx="914400" cy="8830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uca.chiappetta@cdp.it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massimiliano.cotechini@cdp.it" TargetMode="External"/><Relationship Id="rId7" Type="http://schemas.openxmlformats.org/officeDocument/2006/relationships/hyperlink" Target="mailto:pasquale.rossi@cdp.it" TargetMode="External"/><Relationship Id="rId12" Type="http://schemas.openxmlformats.org/officeDocument/2006/relationships/hyperlink" Target="mailto:prova@cdp.it" TargetMode="External"/><Relationship Id="rId2" Type="http://schemas.openxmlformats.org/officeDocument/2006/relationships/hyperlink" Target="mailto:francesco.debartolo@cdp.it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mailto:gruppofinanzaeraccolta@cdp.it" TargetMode="External"/><Relationship Id="rId6" Type="http://schemas.openxmlformats.org/officeDocument/2006/relationships/hyperlink" Target="mailto:giulio.dalmagro@cdp.it" TargetMode="External"/><Relationship Id="rId11" Type="http://schemas.openxmlformats.org/officeDocument/2006/relationships/hyperlink" Target="mailto:prova@cdp.it" TargetMode="External"/><Relationship Id="rId5" Type="http://schemas.openxmlformats.org/officeDocument/2006/relationships/hyperlink" Target="mailto:gabriele.lucentini@cdp.it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mailto:prova@cdp.it" TargetMode="External"/><Relationship Id="rId4" Type="http://schemas.openxmlformats.org/officeDocument/2006/relationships/hyperlink" Target="mailto:valentina.tanga@cdp.it" TargetMode="External"/><Relationship Id="rId9" Type="http://schemas.openxmlformats.org/officeDocument/2006/relationships/hyperlink" Target="mailto:massimiliano.cotechini@cdp.it" TargetMode="External"/><Relationship Id="rId1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prova@cdp.it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prova@cdp.it" TargetMode="External"/><Relationship Id="rId1" Type="http://schemas.openxmlformats.org/officeDocument/2006/relationships/hyperlink" Target="mailto:prova@cdp.it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292"/>
  <sheetViews>
    <sheetView workbookViewId="0">
      <selection activeCell="E55" sqref="E55"/>
    </sheetView>
  </sheetViews>
  <sheetFormatPr defaultRowHeight="14.4" x14ac:dyDescent="0.3"/>
  <cols>
    <col min="1" max="1" width="26.109375" bestFit="1" customWidth="1"/>
    <col min="2" max="2" width="6.554687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s="30">
        <v>39083</v>
      </c>
    </row>
    <row r="3" spans="1:2" x14ac:dyDescent="0.3">
      <c r="A3" s="30">
        <v>39178</v>
      </c>
    </row>
    <row r="4" spans="1:2" x14ac:dyDescent="0.3">
      <c r="A4" s="30">
        <v>39181</v>
      </c>
    </row>
    <row r="5" spans="1:2" x14ac:dyDescent="0.3">
      <c r="A5" s="30">
        <v>39181</v>
      </c>
    </row>
    <row r="6" spans="1:2" x14ac:dyDescent="0.3">
      <c r="A6" s="30">
        <v>39441</v>
      </c>
    </row>
    <row r="7" spans="1:2" x14ac:dyDescent="0.3">
      <c r="A7" s="30">
        <v>39442</v>
      </c>
    </row>
    <row r="8" spans="1:2" x14ac:dyDescent="0.3">
      <c r="A8" s="30">
        <v>39448</v>
      </c>
    </row>
    <row r="9" spans="1:2" x14ac:dyDescent="0.3">
      <c r="A9" s="30">
        <v>39528</v>
      </c>
    </row>
    <row r="10" spans="1:2" x14ac:dyDescent="0.3">
      <c r="A10" s="30">
        <v>39531</v>
      </c>
    </row>
    <row r="11" spans="1:2" x14ac:dyDescent="0.3">
      <c r="A11" s="30">
        <v>39569</v>
      </c>
    </row>
    <row r="12" spans="1:2" x14ac:dyDescent="0.3">
      <c r="A12" s="30">
        <v>39807</v>
      </c>
    </row>
    <row r="13" spans="1:2" x14ac:dyDescent="0.3">
      <c r="A13" s="30">
        <v>39808</v>
      </c>
    </row>
    <row r="14" spans="1:2" x14ac:dyDescent="0.3">
      <c r="A14" s="30">
        <v>39814</v>
      </c>
    </row>
    <row r="15" spans="1:2" x14ac:dyDescent="0.3">
      <c r="A15" s="30">
        <v>39913</v>
      </c>
    </row>
    <row r="16" spans="1:2" x14ac:dyDescent="0.3">
      <c r="A16" s="30">
        <v>39916</v>
      </c>
    </row>
    <row r="17" spans="1:1" x14ac:dyDescent="0.3">
      <c r="A17" s="30">
        <v>39934</v>
      </c>
    </row>
    <row r="18" spans="1:1" x14ac:dyDescent="0.3">
      <c r="A18" s="30">
        <v>40172</v>
      </c>
    </row>
    <row r="19" spans="1:1" x14ac:dyDescent="0.3">
      <c r="A19" s="30">
        <v>40173</v>
      </c>
    </row>
    <row r="20" spans="1:1" x14ac:dyDescent="0.3">
      <c r="A20" s="30">
        <v>40179</v>
      </c>
    </row>
    <row r="21" spans="1:1" x14ac:dyDescent="0.3">
      <c r="A21" s="30">
        <v>40270</v>
      </c>
    </row>
    <row r="22" spans="1:1" x14ac:dyDescent="0.3">
      <c r="A22" s="30">
        <v>40273</v>
      </c>
    </row>
    <row r="23" spans="1:1" x14ac:dyDescent="0.3">
      <c r="A23" s="30">
        <v>40299</v>
      </c>
    </row>
    <row r="24" spans="1:1" x14ac:dyDescent="0.3">
      <c r="A24" s="30">
        <v>40537</v>
      </c>
    </row>
    <row r="25" spans="1:1" x14ac:dyDescent="0.3">
      <c r="A25" s="30">
        <v>40538</v>
      </c>
    </row>
    <row r="26" spans="1:1" x14ac:dyDescent="0.3">
      <c r="A26" s="30">
        <v>40544</v>
      </c>
    </row>
    <row r="27" spans="1:1" x14ac:dyDescent="0.3">
      <c r="A27" s="30">
        <v>40655</v>
      </c>
    </row>
    <row r="28" spans="1:1" x14ac:dyDescent="0.3">
      <c r="A28" s="30">
        <v>40658</v>
      </c>
    </row>
    <row r="29" spans="1:1" x14ac:dyDescent="0.3">
      <c r="A29" s="30">
        <v>40664</v>
      </c>
    </row>
    <row r="30" spans="1:1" x14ac:dyDescent="0.3">
      <c r="A30" s="30">
        <v>40902</v>
      </c>
    </row>
    <row r="31" spans="1:1" x14ac:dyDescent="0.3">
      <c r="A31" s="30">
        <v>40903</v>
      </c>
    </row>
    <row r="32" spans="1:1" x14ac:dyDescent="0.3">
      <c r="A32" s="30">
        <v>40909</v>
      </c>
    </row>
    <row r="33" spans="1:1" x14ac:dyDescent="0.3">
      <c r="A33" s="30">
        <v>41005</v>
      </c>
    </row>
    <row r="34" spans="1:1" x14ac:dyDescent="0.3">
      <c r="A34" s="30">
        <v>41008</v>
      </c>
    </row>
    <row r="35" spans="1:1" x14ac:dyDescent="0.3">
      <c r="A35" s="30">
        <v>41030</v>
      </c>
    </row>
    <row r="36" spans="1:1" x14ac:dyDescent="0.3">
      <c r="A36" s="30">
        <v>41268</v>
      </c>
    </row>
    <row r="37" spans="1:1" x14ac:dyDescent="0.3">
      <c r="A37" s="30">
        <v>41269</v>
      </c>
    </row>
    <row r="38" spans="1:1" x14ac:dyDescent="0.3">
      <c r="A38" s="30">
        <v>41275</v>
      </c>
    </row>
    <row r="39" spans="1:1" x14ac:dyDescent="0.3">
      <c r="A39" s="30">
        <v>41362</v>
      </c>
    </row>
    <row r="40" spans="1:1" x14ac:dyDescent="0.3">
      <c r="A40" s="30">
        <v>41365</v>
      </c>
    </row>
    <row r="41" spans="1:1" x14ac:dyDescent="0.3">
      <c r="A41" s="30">
        <v>41395</v>
      </c>
    </row>
    <row r="42" spans="1:1" x14ac:dyDescent="0.3">
      <c r="A42" s="30">
        <v>41633</v>
      </c>
    </row>
    <row r="43" spans="1:1" x14ac:dyDescent="0.3">
      <c r="A43" s="30">
        <v>41634</v>
      </c>
    </row>
    <row r="44" spans="1:1" x14ac:dyDescent="0.3">
      <c r="A44" s="30">
        <v>41640</v>
      </c>
    </row>
    <row r="45" spans="1:1" x14ac:dyDescent="0.3">
      <c r="A45" s="30">
        <v>41747</v>
      </c>
    </row>
    <row r="46" spans="1:1" x14ac:dyDescent="0.3">
      <c r="A46" s="30">
        <v>41750</v>
      </c>
    </row>
    <row r="47" spans="1:1" x14ac:dyDescent="0.3">
      <c r="A47" s="30">
        <v>41760</v>
      </c>
    </row>
    <row r="48" spans="1:1" x14ac:dyDescent="0.3">
      <c r="A48" s="30">
        <v>41998</v>
      </c>
    </row>
    <row r="49" spans="1:1" x14ac:dyDescent="0.3">
      <c r="A49" s="30">
        <v>41999</v>
      </c>
    </row>
    <row r="50" spans="1:1" x14ac:dyDescent="0.3">
      <c r="A50" s="30">
        <v>42005</v>
      </c>
    </row>
    <row r="51" spans="1:1" x14ac:dyDescent="0.3">
      <c r="A51" s="30">
        <v>42097</v>
      </c>
    </row>
    <row r="52" spans="1:1" x14ac:dyDescent="0.3">
      <c r="A52" s="30">
        <v>42100</v>
      </c>
    </row>
    <row r="53" spans="1:1" x14ac:dyDescent="0.3">
      <c r="A53" s="30">
        <v>42125</v>
      </c>
    </row>
    <row r="54" spans="1:1" x14ac:dyDescent="0.3">
      <c r="A54" s="30">
        <v>42363</v>
      </c>
    </row>
    <row r="55" spans="1:1" x14ac:dyDescent="0.3">
      <c r="A55" s="30">
        <v>42364</v>
      </c>
    </row>
    <row r="56" spans="1:1" x14ac:dyDescent="0.3">
      <c r="A56" s="30">
        <v>42370</v>
      </c>
    </row>
    <row r="57" spans="1:1" x14ac:dyDescent="0.3">
      <c r="A57" s="30">
        <v>42454</v>
      </c>
    </row>
    <row r="58" spans="1:1" x14ac:dyDescent="0.3">
      <c r="A58" s="30">
        <v>42457</v>
      </c>
    </row>
    <row r="59" spans="1:1" x14ac:dyDescent="0.3">
      <c r="A59" s="30">
        <v>42491</v>
      </c>
    </row>
    <row r="60" spans="1:1" s="44" customFormat="1" x14ac:dyDescent="0.3">
      <c r="A60" s="50">
        <v>42597</v>
      </c>
    </row>
    <row r="61" spans="1:1" x14ac:dyDescent="0.3">
      <c r="A61" s="30">
        <v>42729</v>
      </c>
    </row>
    <row r="62" spans="1:1" x14ac:dyDescent="0.3">
      <c r="A62" s="30">
        <v>42730</v>
      </c>
    </row>
    <row r="63" spans="1:1" x14ac:dyDescent="0.3">
      <c r="A63" s="30">
        <v>42736</v>
      </c>
    </row>
    <row r="64" spans="1:1" x14ac:dyDescent="0.3">
      <c r="A64" s="30">
        <v>42839</v>
      </c>
    </row>
    <row r="65" spans="1:1" x14ac:dyDescent="0.3">
      <c r="A65" s="30">
        <v>42842</v>
      </c>
    </row>
    <row r="66" spans="1:1" x14ac:dyDescent="0.3">
      <c r="A66" s="50">
        <v>42962</v>
      </c>
    </row>
    <row r="67" spans="1:1" x14ac:dyDescent="0.3">
      <c r="A67" s="30">
        <v>43094</v>
      </c>
    </row>
    <row r="68" spans="1:1" x14ac:dyDescent="0.3">
      <c r="A68" s="30">
        <v>43095</v>
      </c>
    </row>
    <row r="69" spans="1:1" x14ac:dyDescent="0.3">
      <c r="A69" s="30">
        <v>43101</v>
      </c>
    </row>
    <row r="70" spans="1:1" s="44" customFormat="1" x14ac:dyDescent="0.3">
      <c r="A70" s="50">
        <f>+A69+1</f>
        <v>43102</v>
      </c>
    </row>
    <row r="71" spans="1:1" s="44" customFormat="1" x14ac:dyDescent="0.3">
      <c r="A71" s="50">
        <f t="shared" ref="A71:A73" si="0">+A70+1</f>
        <v>43103</v>
      </c>
    </row>
    <row r="72" spans="1:1" s="44" customFormat="1" x14ac:dyDescent="0.3">
      <c r="A72" s="50">
        <f t="shared" si="0"/>
        <v>43104</v>
      </c>
    </row>
    <row r="73" spans="1:1" s="44" customFormat="1" x14ac:dyDescent="0.3">
      <c r="A73" s="50">
        <f t="shared" si="0"/>
        <v>43105</v>
      </c>
    </row>
    <row r="74" spans="1:1" x14ac:dyDescent="0.3">
      <c r="A74" s="30">
        <v>43215</v>
      </c>
    </row>
    <row r="75" spans="1:1" x14ac:dyDescent="0.3">
      <c r="A75" s="30">
        <v>43192</v>
      </c>
    </row>
    <row r="76" spans="1:1" x14ac:dyDescent="0.3">
      <c r="A76" s="30">
        <v>43221</v>
      </c>
    </row>
    <row r="77" spans="1:1" x14ac:dyDescent="0.3">
      <c r="A77" s="30">
        <v>43459</v>
      </c>
    </row>
    <row r="78" spans="1:1" x14ac:dyDescent="0.3">
      <c r="A78" s="30">
        <v>43460</v>
      </c>
    </row>
    <row r="79" spans="1:1" x14ac:dyDescent="0.3">
      <c r="A79" s="30">
        <v>43466</v>
      </c>
    </row>
    <row r="80" spans="1:1" x14ac:dyDescent="0.3">
      <c r="A80" s="30">
        <v>43574</v>
      </c>
    </row>
    <row r="81" spans="1:1" x14ac:dyDescent="0.3">
      <c r="A81" s="30">
        <v>43577</v>
      </c>
    </row>
    <row r="82" spans="1:1" x14ac:dyDescent="0.3">
      <c r="A82" s="30">
        <v>43586</v>
      </c>
    </row>
    <row r="83" spans="1:1" x14ac:dyDescent="0.3">
      <c r="A83" s="30">
        <v>43824</v>
      </c>
    </row>
    <row r="84" spans="1:1" x14ac:dyDescent="0.3">
      <c r="A84" s="30">
        <v>43825</v>
      </c>
    </row>
    <row r="85" spans="1:1" x14ac:dyDescent="0.3">
      <c r="A85" s="30">
        <v>43831</v>
      </c>
    </row>
    <row r="86" spans="1:1" x14ac:dyDescent="0.3">
      <c r="A86" s="30">
        <v>43931</v>
      </c>
    </row>
    <row r="87" spans="1:1" x14ac:dyDescent="0.3">
      <c r="A87" s="30">
        <v>43934</v>
      </c>
    </row>
    <row r="88" spans="1:1" x14ac:dyDescent="0.3">
      <c r="A88" s="30">
        <v>43952</v>
      </c>
    </row>
    <row r="89" spans="1:1" x14ac:dyDescent="0.3">
      <c r="A89" s="30">
        <v>44190</v>
      </c>
    </row>
    <row r="90" spans="1:1" x14ac:dyDescent="0.3">
      <c r="A90" s="30">
        <v>44191</v>
      </c>
    </row>
    <row r="91" spans="1:1" x14ac:dyDescent="0.3">
      <c r="A91" s="30">
        <v>44197</v>
      </c>
    </row>
    <row r="92" spans="1:1" x14ac:dyDescent="0.3">
      <c r="A92" s="30">
        <v>44288</v>
      </c>
    </row>
    <row r="93" spans="1:1" x14ac:dyDescent="0.3">
      <c r="A93" s="30">
        <v>44291</v>
      </c>
    </row>
    <row r="94" spans="1:1" x14ac:dyDescent="0.3">
      <c r="A94" s="30">
        <v>44317</v>
      </c>
    </row>
    <row r="95" spans="1:1" x14ac:dyDescent="0.3">
      <c r="A95" s="30">
        <v>44555</v>
      </c>
    </row>
    <row r="96" spans="1:1" x14ac:dyDescent="0.3">
      <c r="A96" s="30">
        <v>44556</v>
      </c>
    </row>
    <row r="97" spans="1:1" x14ac:dyDescent="0.3">
      <c r="A97" s="30">
        <v>44562</v>
      </c>
    </row>
    <row r="98" spans="1:1" x14ac:dyDescent="0.3">
      <c r="A98" s="30">
        <v>44666</v>
      </c>
    </row>
    <row r="99" spans="1:1" x14ac:dyDescent="0.3">
      <c r="A99" s="30">
        <v>44669</v>
      </c>
    </row>
    <row r="100" spans="1:1" x14ac:dyDescent="0.3">
      <c r="A100" s="30">
        <v>44682</v>
      </c>
    </row>
    <row r="101" spans="1:1" x14ac:dyDescent="0.3">
      <c r="A101" s="30">
        <v>44920</v>
      </c>
    </row>
    <row r="102" spans="1:1" x14ac:dyDescent="0.3">
      <c r="A102" s="30">
        <v>44921</v>
      </c>
    </row>
    <row r="103" spans="1:1" x14ac:dyDescent="0.3">
      <c r="A103" s="30">
        <v>44927</v>
      </c>
    </row>
    <row r="104" spans="1:1" x14ac:dyDescent="0.3">
      <c r="A104" s="30">
        <v>45023</v>
      </c>
    </row>
    <row r="105" spans="1:1" x14ac:dyDescent="0.3">
      <c r="A105" s="30">
        <v>45026</v>
      </c>
    </row>
    <row r="106" spans="1:1" x14ac:dyDescent="0.3">
      <c r="A106" s="30">
        <v>45047</v>
      </c>
    </row>
    <row r="107" spans="1:1" x14ac:dyDescent="0.3">
      <c r="A107" s="30">
        <v>45285</v>
      </c>
    </row>
    <row r="108" spans="1:1" x14ac:dyDescent="0.3">
      <c r="A108" s="30">
        <v>45286</v>
      </c>
    </row>
    <row r="109" spans="1:1" x14ac:dyDescent="0.3">
      <c r="A109" s="30">
        <v>45292</v>
      </c>
    </row>
    <row r="110" spans="1:1" x14ac:dyDescent="0.3">
      <c r="A110" s="30">
        <v>45380</v>
      </c>
    </row>
    <row r="111" spans="1:1" x14ac:dyDescent="0.3">
      <c r="A111" s="30">
        <v>45383</v>
      </c>
    </row>
    <row r="112" spans="1:1" x14ac:dyDescent="0.3">
      <c r="A112" s="30">
        <v>45413</v>
      </c>
    </row>
    <row r="113" spans="1:1" x14ac:dyDescent="0.3">
      <c r="A113" s="30">
        <v>45651</v>
      </c>
    </row>
    <row r="114" spans="1:1" x14ac:dyDescent="0.3">
      <c r="A114" s="30">
        <v>45652</v>
      </c>
    </row>
    <row r="115" spans="1:1" x14ac:dyDescent="0.3">
      <c r="A115" s="30">
        <v>45658</v>
      </c>
    </row>
    <row r="116" spans="1:1" x14ac:dyDescent="0.3">
      <c r="A116" s="30">
        <v>45765</v>
      </c>
    </row>
    <row r="117" spans="1:1" x14ac:dyDescent="0.3">
      <c r="A117" s="30">
        <v>45768</v>
      </c>
    </row>
    <row r="118" spans="1:1" x14ac:dyDescent="0.3">
      <c r="A118" s="30">
        <v>45778</v>
      </c>
    </row>
    <row r="119" spans="1:1" x14ac:dyDescent="0.3">
      <c r="A119" s="30">
        <v>46016</v>
      </c>
    </row>
    <row r="120" spans="1:1" x14ac:dyDescent="0.3">
      <c r="A120" s="30">
        <v>46017</v>
      </c>
    </row>
    <row r="121" spans="1:1" x14ac:dyDescent="0.3">
      <c r="A121" s="30">
        <v>46023</v>
      </c>
    </row>
    <row r="122" spans="1:1" x14ac:dyDescent="0.3">
      <c r="A122" s="30">
        <v>46115</v>
      </c>
    </row>
    <row r="123" spans="1:1" x14ac:dyDescent="0.3">
      <c r="A123" s="30">
        <v>46118</v>
      </c>
    </row>
    <row r="124" spans="1:1" x14ac:dyDescent="0.3">
      <c r="A124" s="30">
        <v>46143</v>
      </c>
    </row>
    <row r="125" spans="1:1" x14ac:dyDescent="0.3">
      <c r="A125" s="30">
        <v>46381</v>
      </c>
    </row>
    <row r="126" spans="1:1" x14ac:dyDescent="0.3">
      <c r="A126" s="30">
        <v>46382</v>
      </c>
    </row>
    <row r="127" spans="1:1" x14ac:dyDescent="0.3">
      <c r="A127" s="30">
        <v>46388</v>
      </c>
    </row>
    <row r="128" spans="1:1" x14ac:dyDescent="0.3">
      <c r="A128" s="30">
        <v>46472</v>
      </c>
    </row>
    <row r="129" spans="1:1" x14ac:dyDescent="0.3">
      <c r="A129" s="30">
        <v>46475</v>
      </c>
    </row>
    <row r="130" spans="1:1" x14ac:dyDescent="0.3">
      <c r="A130" s="30">
        <v>46508</v>
      </c>
    </row>
    <row r="131" spans="1:1" x14ac:dyDescent="0.3">
      <c r="A131" s="30">
        <v>46746</v>
      </c>
    </row>
    <row r="132" spans="1:1" x14ac:dyDescent="0.3">
      <c r="A132" s="30">
        <v>46747</v>
      </c>
    </row>
    <row r="133" spans="1:1" x14ac:dyDescent="0.3">
      <c r="A133" s="30">
        <v>46753</v>
      </c>
    </row>
    <row r="134" spans="1:1" x14ac:dyDescent="0.3">
      <c r="A134" s="30">
        <v>46857</v>
      </c>
    </row>
    <row r="135" spans="1:1" x14ac:dyDescent="0.3">
      <c r="A135" s="30">
        <v>46860</v>
      </c>
    </row>
    <row r="136" spans="1:1" x14ac:dyDescent="0.3">
      <c r="A136" s="30">
        <v>46874</v>
      </c>
    </row>
    <row r="137" spans="1:1" x14ac:dyDescent="0.3">
      <c r="A137" s="30">
        <v>47112</v>
      </c>
    </row>
    <row r="138" spans="1:1" x14ac:dyDescent="0.3">
      <c r="A138" s="30">
        <v>47113</v>
      </c>
    </row>
    <row r="139" spans="1:1" x14ac:dyDescent="0.3">
      <c r="A139" s="30">
        <v>47119</v>
      </c>
    </row>
    <row r="140" spans="1:1" x14ac:dyDescent="0.3">
      <c r="A140" s="30">
        <v>47207</v>
      </c>
    </row>
    <row r="141" spans="1:1" x14ac:dyDescent="0.3">
      <c r="A141" s="30">
        <v>47210</v>
      </c>
    </row>
    <row r="142" spans="1:1" x14ac:dyDescent="0.3">
      <c r="A142" s="30">
        <v>47239</v>
      </c>
    </row>
    <row r="143" spans="1:1" x14ac:dyDescent="0.3">
      <c r="A143" s="30">
        <v>47477</v>
      </c>
    </row>
    <row r="144" spans="1:1" x14ac:dyDescent="0.3">
      <c r="A144" s="30">
        <v>47478</v>
      </c>
    </row>
    <row r="145" spans="1:1" x14ac:dyDescent="0.3">
      <c r="A145" s="30">
        <v>47484</v>
      </c>
    </row>
    <row r="146" spans="1:1" x14ac:dyDescent="0.3">
      <c r="A146" s="30">
        <v>47592</v>
      </c>
    </row>
    <row r="147" spans="1:1" x14ac:dyDescent="0.3">
      <c r="A147" s="30">
        <v>47595</v>
      </c>
    </row>
    <row r="148" spans="1:1" x14ac:dyDescent="0.3">
      <c r="A148" s="30">
        <v>47604</v>
      </c>
    </row>
    <row r="149" spans="1:1" x14ac:dyDescent="0.3">
      <c r="A149" s="30">
        <v>47842</v>
      </c>
    </row>
    <row r="150" spans="1:1" x14ac:dyDescent="0.3">
      <c r="A150" s="30">
        <v>47843</v>
      </c>
    </row>
    <row r="151" spans="1:1" x14ac:dyDescent="0.3">
      <c r="A151" s="30">
        <v>47849</v>
      </c>
    </row>
    <row r="152" spans="1:1" x14ac:dyDescent="0.3">
      <c r="A152" s="30">
        <v>47949</v>
      </c>
    </row>
    <row r="153" spans="1:1" x14ac:dyDescent="0.3">
      <c r="A153" s="30">
        <v>47952</v>
      </c>
    </row>
    <row r="154" spans="1:1" x14ac:dyDescent="0.3">
      <c r="A154" s="30">
        <v>47969</v>
      </c>
    </row>
    <row r="155" spans="1:1" x14ac:dyDescent="0.3">
      <c r="A155" s="30">
        <v>48207</v>
      </c>
    </row>
    <row r="156" spans="1:1" x14ac:dyDescent="0.3">
      <c r="A156" s="30">
        <v>48208</v>
      </c>
    </row>
    <row r="157" spans="1:1" x14ac:dyDescent="0.3">
      <c r="A157" s="30">
        <v>48214</v>
      </c>
    </row>
    <row r="158" spans="1:1" x14ac:dyDescent="0.3">
      <c r="A158" s="30">
        <v>48299</v>
      </c>
    </row>
    <row r="159" spans="1:1" x14ac:dyDescent="0.3">
      <c r="A159" s="30">
        <v>48302</v>
      </c>
    </row>
    <row r="160" spans="1:1" x14ac:dyDescent="0.3">
      <c r="A160" s="30">
        <v>48335</v>
      </c>
    </row>
    <row r="161" spans="1:1" x14ac:dyDescent="0.3">
      <c r="A161" s="30">
        <v>48573</v>
      </c>
    </row>
    <row r="162" spans="1:1" x14ac:dyDescent="0.3">
      <c r="A162" s="30">
        <v>48574</v>
      </c>
    </row>
    <row r="163" spans="1:1" x14ac:dyDescent="0.3">
      <c r="A163" s="30">
        <v>48580</v>
      </c>
    </row>
    <row r="164" spans="1:1" x14ac:dyDescent="0.3">
      <c r="A164" s="30">
        <v>48684</v>
      </c>
    </row>
    <row r="165" spans="1:1" x14ac:dyDescent="0.3">
      <c r="A165" s="30">
        <v>48687</v>
      </c>
    </row>
    <row r="166" spans="1:1" x14ac:dyDescent="0.3">
      <c r="A166" s="30">
        <v>48700</v>
      </c>
    </row>
    <row r="167" spans="1:1" x14ac:dyDescent="0.3">
      <c r="A167" s="30">
        <v>48938</v>
      </c>
    </row>
    <row r="168" spans="1:1" x14ac:dyDescent="0.3">
      <c r="A168" s="30">
        <v>48939</v>
      </c>
    </row>
    <row r="169" spans="1:1" x14ac:dyDescent="0.3">
      <c r="A169" s="30">
        <v>48945</v>
      </c>
    </row>
    <row r="170" spans="1:1" x14ac:dyDescent="0.3">
      <c r="A170" s="30">
        <v>49041</v>
      </c>
    </row>
    <row r="171" spans="1:1" x14ac:dyDescent="0.3">
      <c r="A171" s="30">
        <v>49044</v>
      </c>
    </row>
    <row r="172" spans="1:1" x14ac:dyDescent="0.3">
      <c r="A172" s="30">
        <v>49065</v>
      </c>
    </row>
    <row r="173" spans="1:1" x14ac:dyDescent="0.3">
      <c r="A173" s="30">
        <v>49303</v>
      </c>
    </row>
    <row r="174" spans="1:1" x14ac:dyDescent="0.3">
      <c r="A174" s="30">
        <v>49304</v>
      </c>
    </row>
    <row r="175" spans="1:1" x14ac:dyDescent="0.3">
      <c r="A175" s="30">
        <v>49310</v>
      </c>
    </row>
    <row r="176" spans="1:1" x14ac:dyDescent="0.3">
      <c r="A176" s="30">
        <v>49391</v>
      </c>
    </row>
    <row r="177" spans="1:1" x14ac:dyDescent="0.3">
      <c r="A177" s="30">
        <v>49394</v>
      </c>
    </row>
    <row r="178" spans="1:1" x14ac:dyDescent="0.3">
      <c r="A178" s="30">
        <v>49430</v>
      </c>
    </row>
    <row r="179" spans="1:1" x14ac:dyDescent="0.3">
      <c r="A179" s="30">
        <v>49668</v>
      </c>
    </row>
    <row r="180" spans="1:1" x14ac:dyDescent="0.3">
      <c r="A180" s="30">
        <v>49669</v>
      </c>
    </row>
    <row r="181" spans="1:1" x14ac:dyDescent="0.3">
      <c r="A181" s="30">
        <v>49675</v>
      </c>
    </row>
    <row r="182" spans="1:1" x14ac:dyDescent="0.3">
      <c r="A182" s="30">
        <v>49776</v>
      </c>
    </row>
    <row r="183" spans="1:1" x14ac:dyDescent="0.3">
      <c r="A183" s="30">
        <v>49779</v>
      </c>
    </row>
    <row r="184" spans="1:1" x14ac:dyDescent="0.3">
      <c r="A184" s="30">
        <v>49796</v>
      </c>
    </row>
    <row r="185" spans="1:1" x14ac:dyDescent="0.3">
      <c r="A185" s="30">
        <v>50034</v>
      </c>
    </row>
    <row r="186" spans="1:1" x14ac:dyDescent="0.3">
      <c r="A186" s="30">
        <v>50035</v>
      </c>
    </row>
    <row r="187" spans="1:1" x14ac:dyDescent="0.3">
      <c r="A187" s="30">
        <v>50041</v>
      </c>
    </row>
    <row r="188" spans="1:1" x14ac:dyDescent="0.3">
      <c r="A188" s="30">
        <v>50133</v>
      </c>
    </row>
    <row r="189" spans="1:1" x14ac:dyDescent="0.3">
      <c r="A189" s="30">
        <v>50136</v>
      </c>
    </row>
    <row r="190" spans="1:1" x14ac:dyDescent="0.3">
      <c r="A190" s="30">
        <v>50161</v>
      </c>
    </row>
    <row r="191" spans="1:1" x14ac:dyDescent="0.3">
      <c r="A191" s="30">
        <v>50399</v>
      </c>
    </row>
    <row r="192" spans="1:1" x14ac:dyDescent="0.3">
      <c r="A192" s="30">
        <v>50406</v>
      </c>
    </row>
    <row r="193" spans="1:1" x14ac:dyDescent="0.3">
      <c r="A193" s="30">
        <v>50518</v>
      </c>
    </row>
    <row r="194" spans="1:1" x14ac:dyDescent="0.3">
      <c r="A194" s="30">
        <v>50521</v>
      </c>
    </row>
    <row r="195" spans="1:1" x14ac:dyDescent="0.3">
      <c r="A195" s="30">
        <v>50868</v>
      </c>
    </row>
    <row r="196" spans="1:1" x14ac:dyDescent="0.3">
      <c r="A196" s="30">
        <v>50871</v>
      </c>
    </row>
    <row r="197" spans="1:1" x14ac:dyDescent="0.3">
      <c r="A197" s="30">
        <v>51130</v>
      </c>
    </row>
    <row r="198" spans="1:1" x14ac:dyDescent="0.3">
      <c r="A198" s="30">
        <v>51225</v>
      </c>
    </row>
    <row r="199" spans="1:1" x14ac:dyDescent="0.3">
      <c r="A199" s="30">
        <v>51228</v>
      </c>
    </row>
    <row r="200" spans="1:1" x14ac:dyDescent="0.3">
      <c r="A200" s="30">
        <v>51257</v>
      </c>
    </row>
    <row r="201" spans="1:1" x14ac:dyDescent="0.3">
      <c r="A201" s="30">
        <v>51495</v>
      </c>
    </row>
    <row r="202" spans="1:1" x14ac:dyDescent="0.3">
      <c r="A202" s="30">
        <v>51496</v>
      </c>
    </row>
    <row r="203" spans="1:1" x14ac:dyDescent="0.3">
      <c r="A203" s="30">
        <v>51502</v>
      </c>
    </row>
    <row r="204" spans="1:1" x14ac:dyDescent="0.3">
      <c r="A204" s="30">
        <v>51610</v>
      </c>
    </row>
    <row r="205" spans="1:1" x14ac:dyDescent="0.3">
      <c r="A205" s="30">
        <v>51613</v>
      </c>
    </row>
    <row r="206" spans="1:1" x14ac:dyDescent="0.3">
      <c r="A206" s="30">
        <v>51622</v>
      </c>
    </row>
    <row r="207" spans="1:1" x14ac:dyDescent="0.3">
      <c r="A207" s="30">
        <v>51860</v>
      </c>
    </row>
    <row r="208" spans="1:1" x14ac:dyDescent="0.3">
      <c r="A208" s="30">
        <v>51861</v>
      </c>
    </row>
    <row r="209" spans="1:1" x14ac:dyDescent="0.3">
      <c r="A209" s="30">
        <v>51867</v>
      </c>
    </row>
    <row r="210" spans="1:1" x14ac:dyDescent="0.3">
      <c r="A210" s="30">
        <v>51960</v>
      </c>
    </row>
    <row r="211" spans="1:1" x14ac:dyDescent="0.3">
      <c r="A211" s="30">
        <v>51963</v>
      </c>
    </row>
    <row r="212" spans="1:1" x14ac:dyDescent="0.3">
      <c r="A212" s="30">
        <v>51987</v>
      </c>
    </row>
    <row r="213" spans="1:1" x14ac:dyDescent="0.3">
      <c r="A213" s="30">
        <v>52225</v>
      </c>
    </row>
    <row r="214" spans="1:1" x14ac:dyDescent="0.3">
      <c r="A214" s="30">
        <v>52226</v>
      </c>
    </row>
    <row r="215" spans="1:1" x14ac:dyDescent="0.3">
      <c r="A215" s="30">
        <v>52232</v>
      </c>
    </row>
    <row r="216" spans="1:1" x14ac:dyDescent="0.3">
      <c r="A216" s="30">
        <v>52317</v>
      </c>
    </row>
    <row r="217" spans="1:1" x14ac:dyDescent="0.3">
      <c r="A217" s="30">
        <v>52320</v>
      </c>
    </row>
    <row r="218" spans="1:1" x14ac:dyDescent="0.3">
      <c r="A218" s="30">
        <v>52352</v>
      </c>
    </row>
    <row r="219" spans="1:1" x14ac:dyDescent="0.3">
      <c r="A219" s="30">
        <v>52590</v>
      </c>
    </row>
    <row r="220" spans="1:1" x14ac:dyDescent="0.3">
      <c r="A220" s="30">
        <v>52597</v>
      </c>
    </row>
    <row r="221" spans="1:1" x14ac:dyDescent="0.3">
      <c r="A221" s="30">
        <v>52702</v>
      </c>
    </row>
    <row r="222" spans="1:1" x14ac:dyDescent="0.3">
      <c r="A222" s="30">
        <v>52705</v>
      </c>
    </row>
    <row r="223" spans="1:1" x14ac:dyDescent="0.3">
      <c r="A223" s="30">
        <v>52957</v>
      </c>
    </row>
    <row r="224" spans="1:1" x14ac:dyDescent="0.3">
      <c r="A224" s="30">
        <v>53059</v>
      </c>
    </row>
    <row r="225" spans="1:1" x14ac:dyDescent="0.3">
      <c r="A225" s="30">
        <v>53062</v>
      </c>
    </row>
    <row r="226" spans="1:1" x14ac:dyDescent="0.3">
      <c r="A226" s="30">
        <v>53083</v>
      </c>
    </row>
    <row r="227" spans="1:1" x14ac:dyDescent="0.3">
      <c r="A227" s="30">
        <v>53321</v>
      </c>
    </row>
    <row r="228" spans="1:1" x14ac:dyDescent="0.3">
      <c r="A228" s="30">
        <v>53322</v>
      </c>
    </row>
    <row r="229" spans="1:1" x14ac:dyDescent="0.3">
      <c r="A229" s="30">
        <v>53328</v>
      </c>
    </row>
    <row r="230" spans="1:1" x14ac:dyDescent="0.3">
      <c r="A230" s="30">
        <v>53409</v>
      </c>
    </row>
    <row r="231" spans="1:1" x14ac:dyDescent="0.3">
      <c r="A231" s="30">
        <v>53412</v>
      </c>
    </row>
    <row r="232" spans="1:1" x14ac:dyDescent="0.3">
      <c r="A232" s="30">
        <v>53448</v>
      </c>
    </row>
    <row r="233" spans="1:1" x14ac:dyDescent="0.3">
      <c r="A233" s="30">
        <v>53686</v>
      </c>
    </row>
    <row r="234" spans="1:1" x14ac:dyDescent="0.3">
      <c r="A234" s="30">
        <v>53687</v>
      </c>
    </row>
    <row r="235" spans="1:1" x14ac:dyDescent="0.3">
      <c r="A235" s="30">
        <v>53693</v>
      </c>
    </row>
    <row r="236" spans="1:1" x14ac:dyDescent="0.3">
      <c r="A236" s="30">
        <v>53794</v>
      </c>
    </row>
    <row r="237" spans="1:1" x14ac:dyDescent="0.3">
      <c r="A237" s="30">
        <v>53797</v>
      </c>
    </row>
    <row r="238" spans="1:1" x14ac:dyDescent="0.3">
      <c r="A238" s="30">
        <v>53813</v>
      </c>
    </row>
    <row r="239" spans="1:1" x14ac:dyDescent="0.3">
      <c r="A239" s="30">
        <v>54051</v>
      </c>
    </row>
    <row r="240" spans="1:1" x14ac:dyDescent="0.3">
      <c r="A240" s="30">
        <v>54052</v>
      </c>
    </row>
    <row r="241" spans="1:1" x14ac:dyDescent="0.3">
      <c r="A241" s="30">
        <v>54058</v>
      </c>
    </row>
    <row r="242" spans="1:1" x14ac:dyDescent="0.3">
      <c r="A242" s="30">
        <v>54151</v>
      </c>
    </row>
    <row r="243" spans="1:1" x14ac:dyDescent="0.3">
      <c r="A243" s="30">
        <v>54154</v>
      </c>
    </row>
    <row r="244" spans="1:1" x14ac:dyDescent="0.3">
      <c r="A244" s="30">
        <v>54179</v>
      </c>
    </row>
    <row r="245" spans="1:1" x14ac:dyDescent="0.3">
      <c r="A245" s="30">
        <v>54417</v>
      </c>
    </row>
    <row r="246" spans="1:1" x14ac:dyDescent="0.3">
      <c r="A246" s="30">
        <v>54424</v>
      </c>
    </row>
    <row r="247" spans="1:1" x14ac:dyDescent="0.3">
      <c r="A247" s="30">
        <v>54529</v>
      </c>
    </row>
    <row r="248" spans="1:1" x14ac:dyDescent="0.3">
      <c r="A248" s="30">
        <v>54532</v>
      </c>
    </row>
    <row r="249" spans="1:1" x14ac:dyDescent="0.3">
      <c r="A249" s="30">
        <v>54886</v>
      </c>
    </row>
    <row r="250" spans="1:1" x14ac:dyDescent="0.3">
      <c r="A250" s="30">
        <v>54889</v>
      </c>
    </row>
    <row r="251" spans="1:1" x14ac:dyDescent="0.3">
      <c r="A251" s="30">
        <v>55148</v>
      </c>
    </row>
    <row r="252" spans="1:1" x14ac:dyDescent="0.3">
      <c r="A252" s="30">
        <v>55246</v>
      </c>
    </row>
    <row r="253" spans="1:1" x14ac:dyDescent="0.3">
      <c r="A253" s="30">
        <v>55274</v>
      </c>
    </row>
    <row r="254" spans="1:1" x14ac:dyDescent="0.3">
      <c r="A254" s="30">
        <v>55512</v>
      </c>
    </row>
    <row r="255" spans="1:1" x14ac:dyDescent="0.3">
      <c r="A255" s="30">
        <v>55513</v>
      </c>
    </row>
    <row r="256" spans="1:1" x14ac:dyDescent="0.3">
      <c r="A256" s="30">
        <v>55519</v>
      </c>
    </row>
    <row r="257" spans="1:1" x14ac:dyDescent="0.3">
      <c r="A257" s="30">
        <v>55631</v>
      </c>
    </row>
    <row r="258" spans="1:1" x14ac:dyDescent="0.3">
      <c r="A258" s="30">
        <v>55640</v>
      </c>
    </row>
    <row r="259" spans="1:1" x14ac:dyDescent="0.3">
      <c r="A259" s="30">
        <v>55878</v>
      </c>
    </row>
    <row r="260" spans="1:1" x14ac:dyDescent="0.3">
      <c r="A260" s="30">
        <v>55879</v>
      </c>
    </row>
    <row r="261" spans="1:1" x14ac:dyDescent="0.3">
      <c r="A261" s="30">
        <v>55885</v>
      </c>
    </row>
    <row r="262" spans="1:1" x14ac:dyDescent="0.3">
      <c r="A262" s="30">
        <v>55981</v>
      </c>
    </row>
    <row r="263" spans="1:1" x14ac:dyDescent="0.3">
      <c r="A263" s="30">
        <v>56005</v>
      </c>
    </row>
    <row r="264" spans="1:1" x14ac:dyDescent="0.3">
      <c r="A264" s="30">
        <v>56243</v>
      </c>
    </row>
    <row r="265" spans="1:1" x14ac:dyDescent="0.3">
      <c r="A265" s="30">
        <v>56244</v>
      </c>
    </row>
    <row r="266" spans="1:1" x14ac:dyDescent="0.3">
      <c r="A266" s="30">
        <v>56250</v>
      </c>
    </row>
    <row r="267" spans="1:1" x14ac:dyDescent="0.3">
      <c r="A267" s="30">
        <v>56338</v>
      </c>
    </row>
    <row r="268" spans="1:1" x14ac:dyDescent="0.3">
      <c r="A268" s="30">
        <v>56370</v>
      </c>
    </row>
    <row r="269" spans="1:1" x14ac:dyDescent="0.3">
      <c r="A269" s="30">
        <v>56608</v>
      </c>
    </row>
    <row r="270" spans="1:1" x14ac:dyDescent="0.3">
      <c r="A270" s="30">
        <v>56615</v>
      </c>
    </row>
    <row r="271" spans="1:1" x14ac:dyDescent="0.3">
      <c r="A271" s="30">
        <v>56723</v>
      </c>
    </row>
    <row r="272" spans="1:1" x14ac:dyDescent="0.3">
      <c r="A272" s="30">
        <v>57073</v>
      </c>
    </row>
    <row r="273" spans="1:1" x14ac:dyDescent="0.3">
      <c r="A273" s="30">
        <v>57101</v>
      </c>
    </row>
    <row r="274" spans="1:1" x14ac:dyDescent="0.3">
      <c r="A274" s="30">
        <v>57339</v>
      </c>
    </row>
    <row r="275" spans="1:1" x14ac:dyDescent="0.3">
      <c r="A275" s="30">
        <v>57340</v>
      </c>
    </row>
    <row r="276" spans="1:1" x14ac:dyDescent="0.3">
      <c r="A276" s="30">
        <v>57346</v>
      </c>
    </row>
    <row r="277" spans="1:1" x14ac:dyDescent="0.3">
      <c r="A277" s="30">
        <v>57458</v>
      </c>
    </row>
    <row r="278" spans="1:1" x14ac:dyDescent="0.3">
      <c r="A278" s="30">
        <v>57466</v>
      </c>
    </row>
    <row r="279" spans="1:1" x14ac:dyDescent="0.3">
      <c r="A279" s="30">
        <v>57704</v>
      </c>
    </row>
    <row r="280" spans="1:1" x14ac:dyDescent="0.3">
      <c r="A280" s="30">
        <v>57705</v>
      </c>
    </row>
    <row r="281" spans="1:1" x14ac:dyDescent="0.3">
      <c r="A281" s="30">
        <v>57711</v>
      </c>
    </row>
    <row r="282" spans="1:1" x14ac:dyDescent="0.3">
      <c r="A282" s="30">
        <v>57815</v>
      </c>
    </row>
    <row r="283" spans="1:1" x14ac:dyDescent="0.3">
      <c r="A283" s="30">
        <v>57831</v>
      </c>
    </row>
    <row r="284" spans="1:1" x14ac:dyDescent="0.3">
      <c r="A284" s="30">
        <v>58069</v>
      </c>
    </row>
    <row r="285" spans="1:1" x14ac:dyDescent="0.3">
      <c r="A285" s="30">
        <v>58070</v>
      </c>
    </row>
    <row r="286" spans="1:1" x14ac:dyDescent="0.3">
      <c r="A286" s="30">
        <v>58076</v>
      </c>
    </row>
    <row r="287" spans="1:1" x14ac:dyDescent="0.3">
      <c r="A287" s="30">
        <v>58165</v>
      </c>
    </row>
    <row r="288" spans="1:1" x14ac:dyDescent="0.3">
      <c r="A288" s="30">
        <v>58196</v>
      </c>
    </row>
    <row r="289" spans="1:1" x14ac:dyDescent="0.3">
      <c r="A289" s="30">
        <v>58434</v>
      </c>
    </row>
    <row r="290" spans="1:1" x14ac:dyDescent="0.3">
      <c r="A290" s="30">
        <v>58435</v>
      </c>
    </row>
    <row r="291" spans="1:1" x14ac:dyDescent="0.3">
      <c r="A291" s="30">
        <v>58441</v>
      </c>
    </row>
    <row r="292" spans="1:1" x14ac:dyDescent="0.3">
      <c r="A292" s="30">
        <v>58550</v>
      </c>
    </row>
  </sheetData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313"/>
  <sheetViews>
    <sheetView showGridLines="0" zoomScale="85" zoomScaleNormal="85" workbookViewId="0">
      <selection activeCell="E2" sqref="E2"/>
    </sheetView>
  </sheetViews>
  <sheetFormatPr defaultRowHeight="14.4" x14ac:dyDescent="0.3"/>
  <cols>
    <col min="1" max="1" width="2.33203125" customWidth="1"/>
    <col min="2" max="2" width="73.88671875" customWidth="1"/>
    <col min="3" max="3" width="17.6640625" customWidth="1"/>
    <col min="4" max="4" width="7.6640625" customWidth="1"/>
    <col min="5" max="5" width="61.44140625" customWidth="1"/>
    <col min="6" max="6" width="9.33203125" customWidth="1"/>
    <col min="7" max="7" width="24.88671875" customWidth="1"/>
    <col min="8" max="8" width="9.33203125" customWidth="1"/>
    <col min="9" max="9" width="20.109375" style="44" customWidth="1"/>
    <col min="10" max="10" width="26.109375" style="44" customWidth="1"/>
    <col min="11" max="11" width="18.88671875" style="44" customWidth="1"/>
    <col min="12" max="12" width="20" style="44" customWidth="1"/>
    <col min="13" max="20" width="19.88671875" style="44" customWidth="1"/>
  </cols>
  <sheetData>
    <row r="1" spans="2:20" x14ac:dyDescent="0.3">
      <c r="F1" s="21"/>
      <c r="J1" s="44" t="s">
        <v>36</v>
      </c>
    </row>
    <row r="2" spans="2:20" s="3" customFormat="1" ht="25.8" x14ac:dyDescent="0.5">
      <c r="B2" s="1" t="s">
        <v>0</v>
      </c>
      <c r="C2" s="2"/>
      <c r="D2" s="2"/>
      <c r="E2" s="18">
        <f ca="1">+NOW()</f>
        <v>43407.880924884259</v>
      </c>
      <c r="F2" s="21"/>
      <c r="I2" s="44"/>
      <c r="J2" s="19" t="s">
        <v>93</v>
      </c>
      <c r="K2" s="44"/>
      <c r="M2" s="19" t="s">
        <v>93</v>
      </c>
      <c r="N2" s="44"/>
      <c r="O2" s="19" t="s">
        <v>83</v>
      </c>
      <c r="P2" s="19" t="s">
        <v>44</v>
      </c>
    </row>
    <row r="3" spans="2:20" x14ac:dyDescent="0.3">
      <c r="F3" s="21"/>
      <c r="I3" s="19" t="s">
        <v>80</v>
      </c>
      <c r="J3" s="19" t="e">
        <f ca="1">+_xll.BDP(I3,$J$2)</f>
        <v>#NAME?</v>
      </c>
      <c r="L3" s="19" t="s">
        <v>81</v>
      </c>
      <c r="M3" s="19" t="e">
        <f ca="1">+_xll.BDP(L3,$M$2)</f>
        <v>#NAME?</v>
      </c>
      <c r="O3" s="19" t="s">
        <v>75</v>
      </c>
      <c r="P3" s="19" t="e">
        <f ca="1">+_xll.BDP(O3,$P$2)</f>
        <v>#NAME?</v>
      </c>
    </row>
    <row r="4" spans="2:20" x14ac:dyDescent="0.3">
      <c r="B4" s="23"/>
      <c r="C4" s="5"/>
      <c r="F4" s="21"/>
      <c r="G4" s="26" t="s">
        <v>8</v>
      </c>
      <c r="I4" s="19" t="s">
        <v>79</v>
      </c>
      <c r="J4" s="19" t="e">
        <f ca="1">+_xll.BDP(I4,$J$2)</f>
        <v>#NAME?</v>
      </c>
      <c r="L4" s="19" t="s">
        <v>82</v>
      </c>
      <c r="M4" s="19" t="e">
        <f ca="1">+_xll.BDP(L4,$M$2)</f>
        <v>#NAME?</v>
      </c>
      <c r="O4" s="19" t="s">
        <v>35</v>
      </c>
      <c r="P4" s="19" t="e">
        <f ca="1">+_xll.BDP(O4,$P$2)</f>
        <v>#NAME?</v>
      </c>
    </row>
    <row r="5" spans="2:20" ht="25.8" x14ac:dyDescent="0.5">
      <c r="B5" s="34" t="str">
        <f>+"&lt;B&gt;&lt;U&gt;"&amp;"Titoli Governativi"&amp;"&lt;/B&gt;&lt;/U&gt;"&amp;"&lt;br&gt;"</f>
        <v>&lt;B&gt;&lt;U&gt;Titoli Governativi&lt;/B&gt;&lt;/U&gt;&lt;br&gt;</v>
      </c>
      <c r="C5" s="5"/>
      <c r="D5" s="5"/>
      <c r="E5" s="1" t="s">
        <v>1</v>
      </c>
      <c r="F5" s="21"/>
      <c r="G5" s="27"/>
      <c r="O5" s="19" t="s">
        <v>76</v>
      </c>
      <c r="P5" s="19" t="e">
        <f ca="1">+_xll.BDP(O5,$P$2)</f>
        <v>#NAME?</v>
      </c>
    </row>
    <row r="6" spans="2:20" x14ac:dyDescent="0.3">
      <c r="B6" s="48" t="e">
        <f ca="1">+"BTP 5Y-ASW sprd@ "&amp;TEXT(J3,"0,0")&amp; " bp - mid yld " &amp; TEXT((P3)*10,"0,000%") &amp; "&lt;br&gt;"</f>
        <v>#NAME?</v>
      </c>
      <c r="C6" s="5"/>
      <c r="D6" s="6"/>
      <c r="E6" s="20" t="str">
        <f ca="1">+"Area Finance - Market Update - "&amp;TEXT(E2,"gg/mm hh:mm")</f>
        <v>Area Finance - Market Update - 03/11 21:08</v>
      </c>
      <c r="F6" s="21"/>
      <c r="O6" s="19" t="s">
        <v>74</v>
      </c>
      <c r="P6" s="19" t="e">
        <f ca="1">+_xll.BDP(O6,$P$2)</f>
        <v>#NAME?</v>
      </c>
    </row>
    <row r="7" spans="2:20" x14ac:dyDescent="0.3">
      <c r="B7" s="22" t="e">
        <f ca="1">+"BTP 10Y-ASW sprd@ "&amp;TEXT(J4,"0,0")&amp; " bp - mid yld " &amp; TEXT((P4)*10,"0,000%") &amp; "&lt;br&gt;"</f>
        <v>#NAME?</v>
      </c>
      <c r="C7" s="5"/>
      <c r="D7" s="7"/>
      <c r="E7" s="5"/>
      <c r="F7" s="21"/>
      <c r="G7" s="21"/>
      <c r="H7" s="21"/>
      <c r="J7" s="19" t="s">
        <v>44</v>
      </c>
      <c r="K7" s="19" t="s">
        <v>42</v>
      </c>
      <c r="L7" s="21"/>
      <c r="M7" s="19" t="s">
        <v>54</v>
      </c>
      <c r="N7" s="21"/>
      <c r="O7" s="19" t="s">
        <v>77</v>
      </c>
      <c r="P7" s="19" t="e">
        <f ca="1">+_xll.BDP(O7,$P$2)</f>
        <v>#NAME?</v>
      </c>
      <c r="Q7" s="21"/>
      <c r="R7" s="21"/>
      <c r="S7" s="21"/>
      <c r="T7" s="21"/>
    </row>
    <row r="8" spans="2:20" ht="25.8" x14ac:dyDescent="0.5">
      <c r="B8" s="22" t="e">
        <f ca="1">+"BMK sprd 5Y IT-DE  @ "&amp;TEXT((P3-P5)*100,"0")&amp;" bp "&amp;"&lt;br&gt;"</f>
        <v>#NAME?</v>
      </c>
      <c r="C8" s="5"/>
      <c r="D8" s="6"/>
      <c r="E8" s="1" t="s">
        <v>2</v>
      </c>
      <c r="F8" s="21"/>
      <c r="G8" s="1" t="s">
        <v>7</v>
      </c>
      <c r="H8" s="21"/>
      <c r="I8" s="44" t="s">
        <v>87</v>
      </c>
      <c r="O8" s="19" t="s">
        <v>78</v>
      </c>
      <c r="P8" s="19" t="e">
        <f ca="1">+_xll.BDP(O8,$P$2)</f>
        <v>#NAME?</v>
      </c>
    </row>
    <row r="9" spans="2:20" x14ac:dyDescent="0.3">
      <c r="B9" s="48" t="e">
        <f ca="1">+"BMK sprd 10Y IT-DE  @ "&amp;TEXT((P4-P6)*100,"0")&amp;"&lt;br&gt;"</f>
        <v>#NAME?</v>
      </c>
      <c r="C9" s="5"/>
      <c r="D9" s="6"/>
      <c r="E9" s="31" t="s">
        <v>94</v>
      </c>
      <c r="F9" s="21"/>
      <c r="G9" s="43">
        <v>0.4375</v>
      </c>
      <c r="H9" s="21"/>
      <c r="I9" s="44" t="s">
        <v>85</v>
      </c>
      <c r="J9" s="44" t="e">
        <f ca="1">+P4-P6</f>
        <v>#NAME?</v>
      </c>
      <c r="K9" s="21"/>
      <c r="L9" s="21"/>
      <c r="M9" s="21"/>
      <c r="O9" s="19" t="s">
        <v>92</v>
      </c>
      <c r="P9" s="19" t="e">
        <f ca="1">+_xll.BDP(O9,$P$2)</f>
        <v>#NAME?</v>
      </c>
    </row>
    <row r="10" spans="2:20" x14ac:dyDescent="0.3">
      <c r="B10" s="48" t="e">
        <f ca="1">+"BMK sprd 10Y IT-SP  @ "&amp;TEXT((P4-P7)*100,"0")&amp;"&lt;br&gt;"</f>
        <v>#NAME?</v>
      </c>
      <c r="C10" s="5"/>
      <c r="D10" s="6"/>
      <c r="E10" s="31"/>
      <c r="F10" s="21"/>
      <c r="G10" s="43">
        <v>0.52083333333333337</v>
      </c>
      <c r="H10" s="21"/>
      <c r="I10" s="21" t="s">
        <v>86</v>
      </c>
      <c r="J10" s="21"/>
      <c r="K10" s="21"/>
      <c r="L10" s="21"/>
      <c r="M10" s="21"/>
    </row>
    <row r="11" spans="2:20" x14ac:dyDescent="0.3">
      <c r="B11" s="48" t="e">
        <f ca="1">+"BMK sprd 10Y IT-PO  @ "&amp;TEXT((P4-P9)*100,"0")&amp;"&lt;br&gt;"</f>
        <v>#NAME?</v>
      </c>
      <c r="C11" s="5"/>
      <c r="D11" s="6"/>
      <c r="E11" s="31"/>
      <c r="F11" s="21"/>
      <c r="G11" s="25">
        <v>0.72916666666666663</v>
      </c>
      <c r="H11" s="21"/>
      <c r="I11" s="21"/>
      <c r="J11" s="21"/>
      <c r="K11" s="21"/>
      <c r="L11" s="21"/>
      <c r="M11" s="21"/>
      <c r="P11" s="19" t="s">
        <v>88</v>
      </c>
    </row>
    <row r="12" spans="2:20" x14ac:dyDescent="0.3">
      <c r="B12" s="22" t="e">
        <f ca="1">+"BMK sprd 10Y SP-DE @ "&amp;TEXT((P7-P6)*100,"0")&amp;" bp"&amp;"&lt;br&gt;"</f>
        <v>#NAME?</v>
      </c>
      <c r="C12" s="5"/>
      <c r="D12" s="6"/>
      <c r="E12" s="31"/>
      <c r="F12" s="21"/>
      <c r="G12" s="25"/>
      <c r="H12" s="21"/>
      <c r="I12" s="21"/>
      <c r="J12" s="21"/>
      <c r="K12" s="21"/>
      <c r="L12" s="21"/>
      <c r="M12" s="21"/>
      <c r="O12" s="19" t="s">
        <v>89</v>
      </c>
      <c r="P12" s="19" t="e">
        <f ca="1">+_xll.BDP(O12,$P$11)</f>
        <v>#NAME?</v>
      </c>
    </row>
    <row r="13" spans="2:20" x14ac:dyDescent="0.3">
      <c r="B13" s="22" t="e">
        <f ca="1">+"BMK sprd 10Y FR-DE @ "&amp;TEXT((P8-P6)*100,"0")&amp;" bp"&amp;"&lt;br&gt;"</f>
        <v>#NAME?</v>
      </c>
      <c r="C13" s="5" t="s">
        <v>27</v>
      </c>
      <c r="D13" s="6"/>
      <c r="E13" s="31"/>
      <c r="F13" s="21"/>
      <c r="G13" s="25"/>
      <c r="H13" s="21"/>
      <c r="I13" s="19" t="s">
        <v>73</v>
      </c>
      <c r="J13" s="19" t="e">
        <f ca="1">+_xll.BDP(I13,$J$7)</f>
        <v>#NAME?</v>
      </c>
      <c r="K13" s="19" t="e">
        <f ca="1">+_xll.BDP(I13,$K$7)</f>
        <v>#NAME?</v>
      </c>
      <c r="L13" s="54">
        <f>+L5-F26-F124</f>
        <v>0</v>
      </c>
      <c r="M13" s="19" t="e">
        <f ca="1">+J13-K13</f>
        <v>#NAME?</v>
      </c>
      <c r="O13" s="44" t="s">
        <v>84</v>
      </c>
    </row>
    <row r="14" spans="2:20" ht="20.25" customHeight="1" x14ac:dyDescent="0.3">
      <c r="B14" s="37" t="e">
        <f ca="1">+"BMK sprd 10Y BEI-DE    @ "&amp;TEXT(P12,0)&amp;" bp"&amp;"&lt;br&gt;"</f>
        <v>#NAME?</v>
      </c>
      <c r="C14" s="5"/>
      <c r="D14" s="6"/>
      <c r="E14" s="31"/>
      <c r="G14" s="25"/>
      <c r="I14" s="19" t="s">
        <v>53</v>
      </c>
      <c r="J14" s="19" t="e">
        <f ca="1">+_xll.BDP(I14,$J$7)</f>
        <v>#NAME?</v>
      </c>
      <c r="K14" s="19" t="e">
        <f ca="1">+_xll.BDP(I14,$K$7)</f>
        <v>#NAME?</v>
      </c>
      <c r="L14" s="54" t="e">
        <f ca="1">+M14/J14</f>
        <v>#NAME?</v>
      </c>
      <c r="M14" s="19" t="e">
        <f ca="1">+J14-K14</f>
        <v>#NAME?</v>
      </c>
    </row>
    <row r="15" spans="2:20" ht="15.75" customHeight="1" x14ac:dyDescent="0.3">
      <c r="B15" s="48" t="e">
        <f ca="1">+"Bund future   "&amp;TEXT(L13,"0.00%")&amp;" ( "&amp;TEXT(M13*100,"0")&amp;" tick)  @ "&amp;J13&amp;"&lt;br&gt;"</f>
        <v>#NAME?</v>
      </c>
      <c r="C15" s="5"/>
      <c r="D15" s="6"/>
      <c r="E15" s="31"/>
      <c r="G15" s="25"/>
      <c r="J15" s="19" t="s">
        <v>44</v>
      </c>
      <c r="K15" s="19"/>
      <c r="L15" s="19"/>
    </row>
    <row r="16" spans="2:20" ht="15" customHeight="1" x14ac:dyDescent="0.3">
      <c r="B16" s="22" t="e">
        <f ca="1">+"BTP future   "&amp;TEXT(L14,"0.00%")&amp;" ( "&amp;TEXT(M14*100,"0")&amp;" tick)  @ "&amp;J14&amp;"&lt;br&gt;"</f>
        <v>#NAME?</v>
      </c>
      <c r="C16" s="5"/>
      <c r="D16" s="6"/>
      <c r="E16" s="15"/>
      <c r="G16" s="25"/>
      <c r="I16" s="19" t="s">
        <v>49</v>
      </c>
      <c r="J16" s="19" t="e">
        <f ca="1">+_xll.BDP(I16,$J$15)</f>
        <v>#NAME?</v>
      </c>
      <c r="K16" s="19"/>
      <c r="L16" s="19"/>
    </row>
    <row r="17" spans="2:20" x14ac:dyDescent="0.3">
      <c r="B17" s="35" t="str">
        <f>+"&lt;B&gt;&lt;U&gt;"&amp;"Tassi"&amp;"&lt;/B&gt;&lt;/U&gt;"&amp;"&lt;br&gt;"</f>
        <v>&lt;B&gt;&lt;U&gt;Tassi&lt;/B&gt;&lt;/U&gt;&lt;br&gt;</v>
      </c>
      <c r="C17" s="5"/>
      <c r="D17" s="6"/>
      <c r="E17" s="15"/>
      <c r="G17" s="25"/>
      <c r="I17" s="19" t="s">
        <v>50</v>
      </c>
      <c r="J17" s="19" t="e">
        <f ca="1">+_xll.BDP(I17,$J$15)</f>
        <v>#NAME?</v>
      </c>
      <c r="K17" s="19"/>
      <c r="L17" s="19"/>
    </row>
    <row r="18" spans="2:20" x14ac:dyDescent="0.3">
      <c r="B18" s="22" t="e">
        <f ca="1">+"Euribor 6m    "&amp;TEXT((J16)/100,"0.000%")&amp;"&lt;br&gt;"</f>
        <v>#NAME?</v>
      </c>
      <c r="C18" s="5"/>
      <c r="D18" s="6"/>
      <c r="E18" s="15"/>
      <c r="G18" s="25"/>
      <c r="I18" s="19" t="s">
        <v>51</v>
      </c>
      <c r="J18" s="19" t="e">
        <f ca="1">+_xll.BDP(I18,$J$15)</f>
        <v>#NAME?</v>
      </c>
      <c r="K18" s="19"/>
      <c r="L18" s="19"/>
    </row>
    <row r="19" spans="2:20" x14ac:dyDescent="0.3">
      <c r="B19" s="22" t="e">
        <f ca="1">+"Swap 5Y    "&amp;TEXT(J17*10,"0,000%")&amp;"&lt;br&gt;"</f>
        <v>#NAME?</v>
      </c>
      <c r="C19" s="5"/>
      <c r="D19" s="6"/>
      <c r="E19" s="15"/>
      <c r="G19" s="25"/>
      <c r="J19" s="19" t="s">
        <v>40</v>
      </c>
    </row>
    <row r="20" spans="2:20" x14ac:dyDescent="0.3">
      <c r="B20" s="22" t="e">
        <f ca="1">+"Swap 10Y    "&amp;TEXT(J18*10,"0,000%")&amp;"&lt;br&gt;"</f>
        <v>#NAME?</v>
      </c>
      <c r="C20" s="5"/>
      <c r="D20" s="6"/>
      <c r="E20" s="15"/>
      <c r="G20" s="25"/>
      <c r="I20" s="19" t="s">
        <v>37</v>
      </c>
      <c r="J20" s="19" t="e">
        <f ca="1">+_xll.BDP(I20,$J$19)</f>
        <v>#NAME?</v>
      </c>
      <c r="K20" s="19"/>
      <c r="L20" s="19"/>
    </row>
    <row r="21" spans="2:20" s="10" customFormat="1" x14ac:dyDescent="0.3">
      <c r="B21" s="35" t="str">
        <f>"&lt;B&gt;&lt;U&gt;"&amp;"Cambi"&amp;"&lt;/B&gt;&lt;/U&gt;"&amp;"&lt;br&gt;"</f>
        <v>&lt;B&gt;&lt;U&gt;Cambi&lt;/B&gt;&lt;/U&gt;&lt;br&gt;</v>
      </c>
      <c r="C21" s="5"/>
      <c r="D21" s="6"/>
      <c r="E21" s="15"/>
      <c r="G21" s="25"/>
      <c r="I21" s="19" t="s">
        <v>38</v>
      </c>
      <c r="J21" s="19" t="e">
        <f ca="1">+_xll.BDP(I21,$J$19)</f>
        <v>#NAME?</v>
      </c>
      <c r="K21" s="53"/>
      <c r="L21" s="53"/>
    </row>
    <row r="22" spans="2:20" ht="15" customHeight="1" x14ac:dyDescent="0.3">
      <c r="B22" s="22" t="e">
        <f ca="1">+"EUR vs USD @  "&amp;J20&amp;"&lt;br&gt;"</f>
        <v>#NAME?</v>
      </c>
      <c r="C22" s="5"/>
      <c r="D22" s="6"/>
      <c r="E22" s="19"/>
      <c r="G22" s="25"/>
      <c r="I22" s="19" t="s">
        <v>39</v>
      </c>
      <c r="J22" s="19" t="e">
        <f ca="1">+_xll.BDP(I22,$J$19)</f>
        <v>#NAME?</v>
      </c>
      <c r="K22" s="19"/>
      <c r="L22" s="19"/>
    </row>
    <row r="23" spans="2:20" x14ac:dyDescent="0.3">
      <c r="B23" s="48" t="e">
        <f ca="1">+"EUR vs CHF @  "&amp;J21&amp;"&lt;br&gt;"</f>
        <v>#NAME?</v>
      </c>
      <c r="C23" s="5"/>
      <c r="D23" s="6"/>
      <c r="E23" s="5"/>
      <c r="G23" s="25"/>
      <c r="K23" s="19" t="s">
        <v>42</v>
      </c>
    </row>
    <row r="24" spans="2:20" ht="19.5" customHeight="1" x14ac:dyDescent="0.5">
      <c r="B24" s="48" t="e">
        <f ca="1">+"EUR vs GBP @  "&amp;J22&amp;"&lt;br&gt;"</f>
        <v>#NAME?</v>
      </c>
      <c r="D24" s="6"/>
      <c r="E24" s="1" t="s">
        <v>3</v>
      </c>
      <c r="G24" s="25"/>
      <c r="I24" s="19" t="s">
        <v>43</v>
      </c>
      <c r="J24" s="19" t="e">
        <f ca="1">+_xll.BDP(I24,$J$19)</f>
        <v>#NAME?</v>
      </c>
      <c r="K24" s="19" t="e">
        <f ca="1">+_xll.BDP(I24,$K$23)</f>
        <v>#NAME?</v>
      </c>
      <c r="L24" s="19"/>
    </row>
    <row r="25" spans="2:20" x14ac:dyDescent="0.3">
      <c r="B25" s="35" t="str">
        <f>+"&lt;B&gt;&lt;U&gt;"&amp;"Commodities"&amp;"&lt;/B&gt;&lt;/U&gt;"&amp;"&lt;br&gt;"</f>
        <v>&lt;B&gt;&lt;U&gt;Commodities&lt;/B&gt;&lt;/U&gt;&lt;br&gt;</v>
      </c>
      <c r="C25" s="5"/>
      <c r="D25" s="6"/>
      <c r="E25" s="31" t="s">
        <v>94</v>
      </c>
      <c r="G25" s="25"/>
      <c r="I25" s="19" t="s">
        <v>41</v>
      </c>
      <c r="J25" s="19" t="e">
        <f ca="1">+_xll.BDP(I25,$J$19)</f>
        <v>#NAME?</v>
      </c>
      <c r="K25" s="19" t="e">
        <f ca="1">+_xll.BDP(I25,$K$23)</f>
        <v>#NAME?</v>
      </c>
      <c r="L25" s="19"/>
    </row>
    <row r="26" spans="2:20" x14ac:dyDescent="0.3">
      <c r="B26" s="48" t="e">
        <f ca="1">+"OIL:   "&amp;TEXT(J24/K24-1,"0.00%")&amp;" @ "&amp;TEXT(J24,"0.000")&amp;"&lt;br&gt;"</f>
        <v>#NAME?</v>
      </c>
      <c r="C26" s="5"/>
      <c r="D26" s="6"/>
      <c r="E26" s="31"/>
      <c r="G26" s="25"/>
      <c r="J26" s="19" t="s">
        <v>44</v>
      </c>
      <c r="L26" s="19" t="s">
        <v>52</v>
      </c>
    </row>
    <row r="27" spans="2:20" x14ac:dyDescent="0.3">
      <c r="B27" s="22" t="e">
        <f ca="1">+"GOLD:   "&amp;TEXT(J25/K25-1,"0.00%")&amp;" @ "&amp;TEXT(J25,"0.000")&amp;"&lt;br&gt;"</f>
        <v>#NAME?</v>
      </c>
      <c r="C27" s="5"/>
      <c r="D27" s="6"/>
      <c r="E27" s="31"/>
      <c r="G27" s="25"/>
      <c r="I27" s="19" t="s">
        <v>45</v>
      </c>
      <c r="J27" s="19" t="e">
        <f ca="1">+_xll.BDP(I27,$J$26)</f>
        <v>#NAME?</v>
      </c>
      <c r="K27" s="19" t="e">
        <f ca="1">+_xll.BDP(I27,$K$23)</f>
        <v>#NAME?</v>
      </c>
      <c r="L27" s="54" t="e">
        <f ca="1">+(J27-K27)/K27</f>
        <v>#NAME?</v>
      </c>
    </row>
    <row r="28" spans="2:20" x14ac:dyDescent="0.3">
      <c r="B28" s="35" t="str">
        <f>+"&lt;B&gt;&lt;U&gt;"&amp;"Indici azionari"&amp;"&lt;/B&gt;&lt;/U&gt;"&amp;"&lt;br&gt;"</f>
        <v>&lt;B&gt;&lt;U&gt;Indici azionari&lt;/B&gt;&lt;/U&gt;&lt;br&gt;</v>
      </c>
      <c r="C28" s="5"/>
      <c r="D28" s="9"/>
      <c r="E28" s="31"/>
      <c r="G28" s="25"/>
      <c r="I28" s="19" t="s">
        <v>46</v>
      </c>
      <c r="J28" s="19" t="e">
        <f ca="1">+_xll.BDP(I28,$J$26)</f>
        <v>#NAME?</v>
      </c>
      <c r="K28" s="19" t="e">
        <f ca="1">+_xll.BDP(I28,$K$23)</f>
        <v>#NAME?</v>
      </c>
      <c r="L28" s="54" t="e">
        <f ca="1">+(J28-K28)/K28</f>
        <v>#NAME?</v>
      </c>
    </row>
    <row r="29" spans="2:20" ht="25.8" x14ac:dyDescent="0.5">
      <c r="B29" s="16" t="e">
        <f ca="1">+"FTSE MIB:  "&amp;TEXT(L27,"0.00%")&amp;" @ "&amp;TEXT(J27,"0.000")&amp;"&lt;br&gt;"</f>
        <v>#NAME?</v>
      </c>
      <c r="C29" s="5"/>
      <c r="D29" s="5"/>
      <c r="E29" s="15"/>
      <c r="G29" s="25"/>
      <c r="I29" s="19" t="s">
        <v>47</v>
      </c>
      <c r="J29" s="19" t="e">
        <f ca="1">+_xll.BDP(I29,$J$26)</f>
        <v>#NAME?</v>
      </c>
      <c r="K29" s="19" t="e">
        <f ca="1">+_xll.BDP(I29,$K$23)</f>
        <v>#NAME?</v>
      </c>
      <c r="L29" s="54" t="e">
        <f ca="1">+(J29-K29)/K29</f>
        <v>#NAME?</v>
      </c>
      <c r="Q29" s="1" t="s">
        <v>2</v>
      </c>
    </row>
    <row r="30" spans="2:20" x14ac:dyDescent="0.3">
      <c r="B30" s="45" t="e">
        <f ca="1">+"SX5E:  "&amp;TEXT(L28,"0.00%")&amp;" @ "&amp;TEXT(J28,"0.000")&amp;"&lt;br&gt;"</f>
        <v>#NAME?</v>
      </c>
      <c r="C30" s="5"/>
      <c r="E30" s="15"/>
      <c r="G30" s="28">
        <v>0.35416666666666669</v>
      </c>
      <c r="H30" s="29" t="s">
        <v>9</v>
      </c>
      <c r="I30" s="19" t="s">
        <v>48</v>
      </c>
      <c r="J30" s="19" t="e">
        <f ca="1">+_xll.BDP(I30,$J$26)</f>
        <v>#NAME?</v>
      </c>
      <c r="K30" s="19" t="e">
        <f ca="1">+_xll.BDP(I30,$K$23)</f>
        <v>#NAME?</v>
      </c>
      <c r="L30" s="54" t="e">
        <f ca="1">+(J30-K30)/K30</f>
        <v>#NAME?</v>
      </c>
      <c r="M30" s="29"/>
      <c r="N30" s="29"/>
      <c r="O30" s="29"/>
      <c r="P30" s="29"/>
      <c r="Q30" s="31" t="s">
        <v>22</v>
      </c>
      <c r="R30" s="29"/>
      <c r="S30" s="29"/>
      <c r="T30" s="29"/>
    </row>
    <row r="31" spans="2:20" x14ac:dyDescent="0.3">
      <c r="B31" s="45" t="e">
        <f ca="1">+"DJ 30:  "&amp;TEXT(L29,"0.00%")&amp;" @ "&amp;TEXT(J29,"0.000")&amp;"&lt;br&gt;"</f>
        <v>#NAME?</v>
      </c>
      <c r="C31" s="5"/>
      <c r="E31" s="15"/>
      <c r="Q31" s="31" t="s">
        <v>23</v>
      </c>
    </row>
    <row r="32" spans="2:20" x14ac:dyDescent="0.3">
      <c r="B32" s="45" t="e">
        <f ca="1">+"NIKKEI:  "&amp;TEXT(L30,"0.00%")&amp;" @ "&amp;TEXT(J30,"0.000")&amp;"&lt;br&gt;"</f>
        <v>#NAME?</v>
      </c>
      <c r="C32" s="5"/>
      <c r="E32" s="15"/>
      <c r="I32" s="55" t="s">
        <v>55</v>
      </c>
      <c r="J32" s="19" t="e">
        <f ca="1">+_xll.BDP(I32,$J$26)</f>
        <v>#NAME?</v>
      </c>
      <c r="K32" s="19" t="e">
        <f ca="1">+_xll.BDP(I32,$K$23)</f>
        <v>#NAME?</v>
      </c>
      <c r="L32" s="54" t="e">
        <f t="shared" ref="L32:L37" ca="1" si="0">+(J32-K32)/K32</f>
        <v>#NAME?</v>
      </c>
      <c r="Q32" s="31" t="s">
        <v>16</v>
      </c>
    </row>
    <row r="33" spans="1:20" x14ac:dyDescent="0.3">
      <c r="B33" s="35" t="str">
        <f>+"&lt;B&gt;&lt;U&gt;"&amp;"Titoli azionari italiani"&amp;"&lt;/B&gt;&lt;/U&gt;"&amp;"&lt;br&gt;"</f>
        <v>&lt;B&gt;&lt;U&gt;Titoli azionari italiani&lt;/B&gt;&lt;/U&gt;&lt;br&gt;</v>
      </c>
      <c r="C33" s="5"/>
      <c r="D33" s="5"/>
      <c r="E33" s="15"/>
      <c r="I33" s="55" t="s">
        <v>56</v>
      </c>
      <c r="J33" s="19" t="e">
        <f ca="1">+_xll.BDP(I33,$J$26)</f>
        <v>#NAME?</v>
      </c>
      <c r="K33" s="19" t="e">
        <f ca="1">+_xll.BDP(I33,$K$23)</f>
        <v>#NAME?</v>
      </c>
      <c r="L33" s="54" t="e">
        <f t="shared" ca="1" si="0"/>
        <v>#NAME?</v>
      </c>
      <c r="Q33" s="31" t="s">
        <v>25</v>
      </c>
    </row>
    <row r="34" spans="1:20" s="10" customFormat="1" x14ac:dyDescent="0.3">
      <c r="A34" s="10">
        <v>4</v>
      </c>
      <c r="B34" s="22" t="e">
        <f ca="1">+"ISP:          "&amp;TEXT(L32,"0.00%")&amp;" @ "&amp;TEXT(J32,"0.000")&amp;"&lt;br&gt;"</f>
        <v>#NAME?</v>
      </c>
      <c r="C34" s="5"/>
      <c r="D34" s="11"/>
      <c r="E34" s="15"/>
      <c r="G34" s="44"/>
      <c r="I34" s="55" t="s">
        <v>57</v>
      </c>
      <c r="J34" s="19" t="e">
        <f ca="1">+_xll.BDP(I34,$J$26)</f>
        <v>#NAME?</v>
      </c>
      <c r="K34" s="19" t="e">
        <f ca="1">+_xll.BDP(I34,$K$23)</f>
        <v>#NAME?</v>
      </c>
      <c r="L34" s="54" t="e">
        <f t="shared" ca="1" si="0"/>
        <v>#NAME?</v>
      </c>
      <c r="Q34" s="31" t="s">
        <v>26</v>
      </c>
    </row>
    <row r="35" spans="1:20" x14ac:dyDescent="0.3">
      <c r="B35" s="48" t="e">
        <f ca="1">+"UCG:          "&amp;TEXT(L33,"0.00%")&amp;" @ "&amp;TEXT(J33,"0.000")&amp;"&lt;br&gt;"</f>
        <v>#NAME?</v>
      </c>
      <c r="C35" s="5"/>
      <c r="D35" s="11"/>
      <c r="E35" s="15"/>
      <c r="F35" s="10"/>
      <c r="G35" s="44"/>
      <c r="H35" s="10"/>
      <c r="I35" s="55" t="s">
        <v>58</v>
      </c>
      <c r="J35" s="19" t="e">
        <f ca="1">+_xll.BDP(I35,$J$26)</f>
        <v>#NAME?</v>
      </c>
      <c r="K35" s="19" t="e">
        <f ca="1">+_xll.BDP(I35,$K$23)</f>
        <v>#NAME?</v>
      </c>
      <c r="L35" s="54" t="e">
        <f t="shared" ca="1" si="0"/>
        <v>#NAME?</v>
      </c>
      <c r="M35" s="10"/>
      <c r="N35" s="10"/>
      <c r="O35" s="10"/>
      <c r="P35" s="10"/>
      <c r="Q35" s="31"/>
      <c r="R35" s="10"/>
      <c r="S35" s="10"/>
      <c r="T35" s="10"/>
    </row>
    <row r="36" spans="1:20" x14ac:dyDescent="0.3">
      <c r="B36" s="48" t="e">
        <f ca="1">+"UBI:          "&amp;TEXT(L34,"0.00%")&amp;" @ "&amp;TEXT(J34,"0.000")&amp;"&lt;br&gt;"</f>
        <v>#NAME?</v>
      </c>
      <c r="C36" s="5"/>
      <c r="D36" s="5"/>
      <c r="E36" s="15"/>
      <c r="G36" s="44"/>
      <c r="I36" s="55" t="s">
        <v>59</v>
      </c>
      <c r="J36" s="19" t="e">
        <f ca="1">+_xll.BDP(I36,$J$26)</f>
        <v>#NAME?</v>
      </c>
      <c r="K36" s="19" t="e">
        <f ca="1">+_xll.BDP(I36,$K$23)</f>
        <v>#NAME?</v>
      </c>
      <c r="L36" s="54" t="e">
        <f t="shared" ca="1" si="0"/>
        <v>#NAME?</v>
      </c>
      <c r="Q36" s="31"/>
    </row>
    <row r="37" spans="1:20" x14ac:dyDescent="0.3">
      <c r="B37" s="48" t="e">
        <f ca="1">+"Generali:          "&amp;TEXT(L35,"0.00%")&amp;" @ "&amp;TEXT(J35,"0.000")&amp;"&lt;br&gt;"</f>
        <v>#NAME?</v>
      </c>
      <c r="C37" s="5"/>
      <c r="E37" s="15"/>
      <c r="G37" s="44"/>
      <c r="I37" s="55" t="s">
        <v>60</v>
      </c>
      <c r="J37" s="19" t="e">
        <f ca="1">+_xll.BDP(I37,$J$26)</f>
        <v>#NAME?</v>
      </c>
      <c r="K37" s="19" t="e">
        <f ca="1">+_xll.BDP(I37,$K$23)</f>
        <v>#NAME?</v>
      </c>
      <c r="L37" s="54" t="e">
        <f t="shared" ca="1" si="0"/>
        <v>#NAME?</v>
      </c>
      <c r="Q37" s="15"/>
    </row>
    <row r="38" spans="1:20" x14ac:dyDescent="0.3">
      <c r="B38" s="48" t="e">
        <f ca="1">+"Unipol:          "&amp;TEXT(L36,"0.00%")&amp;" @ "&amp;TEXT(J36,"0.000")&amp;"&lt;br&gt;"</f>
        <v>#NAME?</v>
      </c>
      <c r="C38" s="5"/>
      <c r="D38" s="4"/>
      <c r="E38" s="15"/>
      <c r="G38" s="44"/>
      <c r="Q38" s="15"/>
    </row>
    <row r="39" spans="1:20" x14ac:dyDescent="0.3">
      <c r="B39" s="48" t="e">
        <f ca="1">+"Telecom:          "&amp;TEXT(L37,"0.00%")&amp;" @ "&amp;TEXT(J37,"0.000")&amp;"&lt;br&gt;"</f>
        <v>#NAME?</v>
      </c>
      <c r="C39" s="5"/>
      <c r="D39" s="8"/>
      <c r="E39" s="19"/>
      <c r="G39" s="44"/>
      <c r="I39" s="55" t="s">
        <v>61</v>
      </c>
      <c r="J39" s="19" t="e">
        <f ca="1">+_xll.BDP(I39,$J$26)</f>
        <v>#NAME?</v>
      </c>
      <c r="K39" s="19" t="e">
        <f ca="1">+_xll.BDP(I39,$K$23)</f>
        <v>#NAME?</v>
      </c>
      <c r="L39" s="54" t="e">
        <f ca="1">+(J39-K39)/K39</f>
        <v>#NAME?</v>
      </c>
      <c r="Q39" s="15"/>
    </row>
    <row r="40" spans="1:20" x14ac:dyDescent="0.3">
      <c r="B40" s="35" t="str">
        <f>+"&lt;B&gt;&lt;U&gt;"&amp;"Titoli azionari europei"&amp;"&lt;/B&gt;&lt;/U&gt;"&amp;"&lt;br&gt;"</f>
        <v>&lt;B&gt;&lt;U&gt;Titoli azionari europei&lt;/B&gt;&lt;/U&gt;&lt;br&gt;</v>
      </c>
      <c r="C40" s="5"/>
      <c r="E40" s="5"/>
      <c r="G40" s="44"/>
      <c r="I40" s="55" t="s">
        <v>62</v>
      </c>
      <c r="J40" s="19" t="e">
        <f ca="1">+_xll.BDP(I40,$J$26)</f>
        <v>#NAME?</v>
      </c>
      <c r="K40" s="19" t="e">
        <f ca="1">+_xll.BDP(I40,$K$23)</f>
        <v>#NAME?</v>
      </c>
      <c r="L40" s="54" t="e">
        <f ca="1">+(J40-K40)/K40</f>
        <v>#NAME?</v>
      </c>
      <c r="Q40" s="15"/>
    </row>
    <row r="41" spans="1:20" ht="16.5" customHeight="1" x14ac:dyDescent="0.5">
      <c r="B41" s="48" t="e">
        <f ca="1">+"SocGen:          "&amp;TEXT(L39,"0.00%")&amp;" @ "&amp;TEXT(J39,"0.000")&amp;"&lt;br&gt;"</f>
        <v>#NAME?</v>
      </c>
      <c r="C41" s="5"/>
      <c r="D41" s="5"/>
      <c r="E41" s="1" t="s">
        <v>4</v>
      </c>
      <c r="G41" s="44"/>
      <c r="I41" s="55" t="s">
        <v>63</v>
      </c>
      <c r="J41" s="19" t="e">
        <f ca="1">+_xll.BDP(I41,$J$26)</f>
        <v>#NAME?</v>
      </c>
      <c r="K41" s="19" t="e">
        <f ca="1">+_xll.BDP(I41,$K$23)</f>
        <v>#NAME?</v>
      </c>
      <c r="L41" s="54" t="e">
        <f ca="1">+(J41-K41)/K41</f>
        <v>#NAME?</v>
      </c>
      <c r="Q41" s="15"/>
    </row>
    <row r="42" spans="1:20" x14ac:dyDescent="0.3">
      <c r="B42" s="48" t="e">
        <f ca="1">+"Bnp:          "&amp;TEXT(L40,"0.00%")&amp;" @ "&amp;TEXT(J40,"0.000")&amp;"&lt;br&gt;"</f>
        <v>#NAME?</v>
      </c>
      <c r="C42" s="5"/>
      <c r="D42" s="5"/>
      <c r="E42" s="31" t="s">
        <v>94</v>
      </c>
      <c r="G42" s="44"/>
      <c r="Q42" s="15"/>
    </row>
    <row r="43" spans="1:20" x14ac:dyDescent="0.3">
      <c r="B43" s="48" t="e">
        <f ca="1">+"Deutsche:          "&amp;TEXT(L41,"0.00%")&amp;" @ "&amp;TEXT(J41,"0.000")&amp;"&lt;br&gt;"</f>
        <v>#NAME?</v>
      </c>
      <c r="C43" s="5"/>
      <c r="E43" s="31"/>
      <c r="F43" s="10"/>
      <c r="G43" s="44"/>
      <c r="H43" s="10"/>
      <c r="I43" s="10"/>
      <c r="J43" s="10"/>
      <c r="K43" s="10"/>
      <c r="L43" s="19" t="s">
        <v>66</v>
      </c>
      <c r="M43" s="19" t="s">
        <v>65</v>
      </c>
      <c r="N43" s="10"/>
      <c r="O43" s="10"/>
      <c r="P43" s="10"/>
      <c r="Q43" s="19"/>
      <c r="R43" s="10"/>
      <c r="S43" s="10"/>
      <c r="T43" s="10"/>
    </row>
    <row r="44" spans="1:20" x14ac:dyDescent="0.3">
      <c r="B44" s="35" t="str">
        <f>+"&lt;B&gt;&lt;U&gt;"&amp;"Partecipazioni quotate gruppo CDP"&amp;"&lt;/B&gt;&lt;/U&gt;"&amp;"&lt;br&gt;"</f>
        <v>&lt;B&gt;&lt;U&gt;Partecipazioni quotate gruppo CDP&lt;/B&gt;&lt;/U&gt;&lt;br&gt;</v>
      </c>
      <c r="D44" s="5"/>
      <c r="E44" s="31"/>
      <c r="F44" s="12"/>
      <c r="G44" s="44"/>
      <c r="H44" s="12"/>
      <c r="I44" s="55" t="s">
        <v>64</v>
      </c>
      <c r="J44" s="19" t="e">
        <f ca="1">+_xll.BDP(I44,$J$26)</f>
        <v>#NAME?</v>
      </c>
      <c r="K44" s="19" t="e">
        <f ca="1">+_xll.BDP(I44,$K$23)</f>
        <v>#NAME?</v>
      </c>
      <c r="L44" s="19" t="e">
        <f ca="1">+_xll.BDP(I44,$L$43)</f>
        <v>#NAME?</v>
      </c>
      <c r="M44" s="56" t="e">
        <f ca="1">+_xll.BDP(I44,$M$43)</f>
        <v>#NAME?</v>
      </c>
      <c r="N44" s="12"/>
      <c r="O44" s="12"/>
      <c r="P44" s="12"/>
      <c r="Q44" s="5"/>
      <c r="R44" s="12"/>
      <c r="S44" s="12"/>
      <c r="T44" s="12"/>
    </row>
    <row r="45" spans="1:20" ht="25.8" x14ac:dyDescent="0.5">
      <c r="B45" s="41" t="str">
        <f>+"&lt;B&gt;"&amp;"ENI"&amp;"&lt;/B&gt;"&amp;"&lt;br&gt;"</f>
        <v>&lt;B&gt;ENI&lt;/B&gt;&lt;br&gt;</v>
      </c>
      <c r="C45" s="5"/>
      <c r="D45" s="5"/>
      <c r="E45" s="31"/>
      <c r="F45" s="13"/>
      <c r="G45" s="44"/>
      <c r="H45" s="13"/>
      <c r="I45" s="52"/>
      <c r="J45" s="52"/>
      <c r="K45" s="52"/>
      <c r="L45" s="52"/>
      <c r="M45" s="52"/>
      <c r="N45" s="52"/>
      <c r="O45" s="52"/>
      <c r="P45" s="52"/>
      <c r="Q45" s="1" t="s">
        <v>3</v>
      </c>
      <c r="R45" s="52"/>
      <c r="S45" s="52"/>
      <c r="T45" s="52"/>
    </row>
    <row r="46" spans="1:20" x14ac:dyDescent="0.3">
      <c r="B46" s="16" t="e">
        <f ca="1">+CONCATENATE("Prezzo corrente @"," ",J44)&amp;"&lt;br&gt;"</f>
        <v>#NAME?</v>
      </c>
      <c r="C46" s="5"/>
      <c r="D46" s="5"/>
      <c r="E46" s="31"/>
      <c r="G46" s="44"/>
      <c r="Q46" s="31" t="s">
        <v>17</v>
      </c>
    </row>
    <row r="47" spans="1:20" x14ac:dyDescent="0.3">
      <c r="B47" s="22" t="e">
        <f ca="1">+CONCATENATE("Pct Change @ "," ",ROUND(L44,2),"%")&amp;"&lt;br&gt;"</f>
        <v>#NAME?</v>
      </c>
      <c r="C47" s="5"/>
      <c r="E47" s="31"/>
      <c r="G47" s="44"/>
      <c r="Q47" s="31" t="s">
        <v>18</v>
      </c>
    </row>
    <row r="48" spans="1:20" x14ac:dyDescent="0.3">
      <c r="B48" s="22" t="e">
        <f ca="1">+CONCATENATE("Volume scambiato @"," ",TEXT(M44,"#.###"))&amp;"&lt;br&gt;"</f>
        <v>#NAME?</v>
      </c>
      <c r="C48" s="5"/>
      <c r="E48" s="31"/>
      <c r="G48" s="44"/>
      <c r="I48" s="55" t="s">
        <v>67</v>
      </c>
      <c r="J48" s="19" t="e">
        <f ca="1">+_xll.BDP(I48,$J$26)</f>
        <v>#NAME?</v>
      </c>
      <c r="K48" s="19" t="e">
        <f ca="1">+_xll.BDP(I48,$K$23)</f>
        <v>#NAME?</v>
      </c>
      <c r="L48" s="19" t="e">
        <f ca="1">+_xll.BDP(I48,$L$43)</f>
        <v>#NAME?</v>
      </c>
      <c r="M48" s="56" t="e">
        <f ca="1">+_xll.BDP(I48,$M$43)</f>
        <v>#NAME?</v>
      </c>
      <c r="Q48" s="31" t="s">
        <v>33</v>
      </c>
    </row>
    <row r="49" spans="2:17" x14ac:dyDescent="0.3">
      <c r="B49" s="41" t="str">
        <f>+"&lt;B&gt;"&amp;"Snam "&amp;"&lt;/B&gt;"&amp;"&lt;br&gt;"</f>
        <v>&lt;B&gt;Snam &lt;/B&gt;&lt;br&gt;</v>
      </c>
      <c r="C49" s="5"/>
      <c r="E49" s="31"/>
      <c r="G49" s="44"/>
      <c r="Q49" s="31"/>
    </row>
    <row r="50" spans="2:17" x14ac:dyDescent="0.3">
      <c r="B50" s="45" t="e">
        <f ca="1">+CONCATENATE("Prezzo corrente @"," ",J48)&amp;"&lt;br&gt;"</f>
        <v>#NAME?</v>
      </c>
      <c r="C50" s="5"/>
      <c r="E50" s="15"/>
      <c r="G50" s="44"/>
      <c r="Q50" s="31"/>
    </row>
    <row r="51" spans="2:17" x14ac:dyDescent="0.3">
      <c r="B51" s="48" t="e">
        <f ca="1">+CONCATENATE("Pct Change @ "," ",ROUND(L48,2),"%")&amp;"&lt;br&gt;"</f>
        <v>#NAME?</v>
      </c>
      <c r="C51" s="5"/>
      <c r="E51" s="15"/>
      <c r="G51" s="44"/>
      <c r="Q51" s="15"/>
    </row>
    <row r="52" spans="2:17" x14ac:dyDescent="0.3">
      <c r="B52" s="48" t="e">
        <f ca="1">+CONCATENATE("Volume scambiato @"," ",TEXT(M48,"#.###"))&amp;"&lt;br&gt;"</f>
        <v>#NAME?</v>
      </c>
      <c r="C52" s="5"/>
      <c r="E52" s="15"/>
      <c r="G52" s="44"/>
      <c r="I52" s="55" t="s">
        <v>68</v>
      </c>
      <c r="J52" s="19" t="e">
        <f ca="1">+_xll.BDP(I52,$J$26)</f>
        <v>#NAME?</v>
      </c>
      <c r="K52" s="19" t="e">
        <f ca="1">+_xll.BDP(I52,$K$23)</f>
        <v>#NAME?</v>
      </c>
      <c r="L52" s="19" t="e">
        <f ca="1">+_xll.BDP(I52,$L$43)</f>
        <v>#NAME?</v>
      </c>
      <c r="M52" s="56" t="e">
        <f ca="1">+_xll.BDP(I52,$M$43)</f>
        <v>#NAME?</v>
      </c>
      <c r="Q52" s="15"/>
    </row>
    <row r="53" spans="2:17" x14ac:dyDescent="0.3">
      <c r="B53" s="41" t="str">
        <f>+"&lt;B&gt;"&amp;"Saipem "&amp;"&lt;/B&gt;"&amp;"&lt;br&gt;"</f>
        <v>&lt;B&gt;Saipem &lt;/B&gt;&lt;br&gt;</v>
      </c>
      <c r="C53" s="5"/>
      <c r="E53" s="15"/>
      <c r="G53" s="44"/>
      <c r="Q53" s="15"/>
    </row>
    <row r="54" spans="2:17" x14ac:dyDescent="0.3">
      <c r="B54" s="45" t="e">
        <f ca="1">+CONCATENATE("Prezzo corrente @"," ",J52)&amp;"&lt;br&gt;"</f>
        <v>#NAME?</v>
      </c>
      <c r="C54" s="5"/>
      <c r="E54" s="15"/>
      <c r="G54" s="44"/>
      <c r="Q54" s="15"/>
    </row>
    <row r="55" spans="2:17" x14ac:dyDescent="0.3">
      <c r="B55" s="48" t="e">
        <f ca="1">+CONCATENATE("Pct Change @ "," ",ROUND(L52,2),"%")&amp;"&lt;br&gt;"</f>
        <v>#NAME?</v>
      </c>
      <c r="C55" s="5"/>
      <c r="E55" s="15"/>
      <c r="Q55" s="15"/>
    </row>
    <row r="56" spans="2:17" ht="15.75" customHeight="1" x14ac:dyDescent="0.3">
      <c r="B56" s="48" t="e">
        <f ca="1">+CONCATENATE("Volume scambiato @"," ",TEXT(M52,"#.###"))&amp;"&lt;br&gt;"</f>
        <v>#NAME?</v>
      </c>
      <c r="E56" s="19"/>
      <c r="I56" s="55" t="s">
        <v>69</v>
      </c>
      <c r="J56" s="19" t="e">
        <f ca="1">+_xll.BDP(I56,$J$26)</f>
        <v>#NAME?</v>
      </c>
      <c r="K56" s="19" t="e">
        <f ca="1">+_xll.BDP(I56,$K$23)</f>
        <v>#NAME?</v>
      </c>
      <c r="L56" s="19" t="e">
        <f ca="1">+_xll.BDP(I56,$L$43)</f>
        <v>#NAME?</v>
      </c>
      <c r="M56" s="56" t="e">
        <f ca="1">+_xll.BDP(I56,$M$43)</f>
        <v>#NAME?</v>
      </c>
      <c r="Q56" s="15"/>
    </row>
    <row r="57" spans="2:17" x14ac:dyDescent="0.3">
      <c r="B57" s="41" t="str">
        <f>+"&lt;B&gt;"&amp;"Terna"&amp;"&lt;/B&gt;"&amp;"&lt;br&gt;"</f>
        <v>&lt;B&gt;Terna&lt;/B&gt;&lt;br&gt;</v>
      </c>
      <c r="C57" s="5"/>
      <c r="Q57" s="15"/>
    </row>
    <row r="58" spans="2:17" x14ac:dyDescent="0.3">
      <c r="B58" s="45" t="e">
        <f ca="1">+CONCATENATE("Prezzo corrente @"," ",J56)&amp;"&lt;br&gt;"</f>
        <v>#NAME?</v>
      </c>
      <c r="C58" s="5"/>
      <c r="E58">
        <v>4</v>
      </c>
      <c r="Q58" s="15"/>
    </row>
    <row r="59" spans="2:17" x14ac:dyDescent="0.3">
      <c r="B59" s="48" t="e">
        <f ca="1">+CONCATENATE("Pct Change @ "," ",ROUND(L56,2),"%")&amp;"&lt;br&gt;"</f>
        <v>#NAME?</v>
      </c>
      <c r="C59" s="5"/>
      <c r="Q59" s="15"/>
    </row>
    <row r="60" spans="2:17" x14ac:dyDescent="0.3">
      <c r="B60" s="48" t="e">
        <f ca="1">+CONCATENATE("Volume scambiato @"," ",TEXT(M56,"#.###"))&amp;"&lt;br&gt;"</f>
        <v>#NAME?</v>
      </c>
      <c r="C60" s="5"/>
      <c r="I60" s="55" t="s">
        <v>70</v>
      </c>
      <c r="J60" s="19" t="e">
        <f ca="1">+_xll.BDP(I60,$J$26)</f>
        <v>#NAME?</v>
      </c>
      <c r="K60" s="19" t="e">
        <f ca="1">+_xll.BDP(I60,$K$23)</f>
        <v>#NAME?</v>
      </c>
      <c r="L60" s="19" t="e">
        <f ca="1">+_xll.BDP(I60,$L$43)</f>
        <v>#NAME?</v>
      </c>
      <c r="M60" s="56" t="e">
        <f ca="1">+_xll.BDP(I60,$M$43)</f>
        <v>#NAME?</v>
      </c>
      <c r="Q60" s="19"/>
    </row>
    <row r="61" spans="2:17" x14ac:dyDescent="0.3">
      <c r="B61" s="41" t="str">
        <f>+"&lt;B&gt;"&amp;"Fincantieri"&amp;"&lt;/B&gt;"&amp;"&lt;br&gt;"</f>
        <v>&lt;B&gt;Fincantieri&lt;/B&gt;&lt;br&gt;</v>
      </c>
      <c r="C61" s="5"/>
      <c r="Q61" s="5"/>
    </row>
    <row r="62" spans="2:17" ht="25.8" x14ac:dyDescent="0.5">
      <c r="B62" s="45" t="e">
        <f ca="1">+CONCATENATE("Prezzo corrente @"," ",J60)&amp;"&lt;br&gt;"</f>
        <v>#NAME?</v>
      </c>
      <c r="C62" s="5"/>
      <c r="Q62" s="1" t="s">
        <v>4</v>
      </c>
    </row>
    <row r="63" spans="2:17" x14ac:dyDescent="0.3">
      <c r="B63" s="48" t="e">
        <f ca="1">+CONCATENATE("Pct Change @ "," ",ROUND(L60,2),"%")&amp;"&lt;br&gt;"</f>
        <v>#NAME?</v>
      </c>
      <c r="C63" s="5"/>
      <c r="Q63" s="31" t="s">
        <v>19</v>
      </c>
    </row>
    <row r="64" spans="2:17" s="44" customFormat="1" x14ac:dyDescent="0.3">
      <c r="B64" s="48" t="e">
        <f ca="1">+CONCATENATE("Volume scambiato @"," ",TEXT(M60,"#.###"))&amp;"&lt;br&gt;"</f>
        <v>#NAME?</v>
      </c>
      <c r="C64" s="5"/>
      <c r="I64" s="55" t="s">
        <v>71</v>
      </c>
      <c r="J64" s="19" t="e">
        <f ca="1">+_xll.BDP(I64,$J$26)</f>
        <v>#NAME?</v>
      </c>
      <c r="K64" s="19" t="e">
        <f ca="1">+_xll.BDP(I64,$K$23)</f>
        <v>#NAME?</v>
      </c>
      <c r="L64" s="19" t="e">
        <f ca="1">+_xll.BDP(I64,$L$43)</f>
        <v>#NAME?</v>
      </c>
      <c r="M64" s="56" t="e">
        <f ca="1">+_xll.BDP(I64,$M$43)</f>
        <v>#NAME?</v>
      </c>
      <c r="Q64" s="31" t="s">
        <v>20</v>
      </c>
    </row>
    <row r="65" spans="2:17" s="44" customFormat="1" x14ac:dyDescent="0.3">
      <c r="B65" s="41" t="str">
        <f>+"&lt;B&gt;"&amp;"Italgas"&amp;"&lt;/B&gt;"&amp;"&lt;br&gt;"</f>
        <v>&lt;B&gt;Italgas&lt;/B&gt;&lt;br&gt;</v>
      </c>
      <c r="C65" s="5"/>
      <c r="Q65" s="31" t="s">
        <v>21</v>
      </c>
    </row>
    <row r="66" spans="2:17" s="44" customFormat="1" x14ac:dyDescent="0.3">
      <c r="B66" s="45" t="e">
        <f ca="1">+CONCATENATE("Prezzo corrente @"," ",J64)&amp;"&lt;br&gt;"</f>
        <v>#NAME?</v>
      </c>
      <c r="C66" s="5"/>
      <c r="Q66" s="31" t="s">
        <v>30</v>
      </c>
    </row>
    <row r="67" spans="2:17" s="44" customFormat="1" x14ac:dyDescent="0.3">
      <c r="B67" s="48" t="e">
        <f ca="1">+CONCATENATE("Pct Change @ "," ",ROUND(L64,2),"%")&amp;"&lt;br&gt;"</f>
        <v>#NAME?</v>
      </c>
      <c r="C67" s="5"/>
      <c r="Q67" s="31" t="s">
        <v>31</v>
      </c>
    </row>
    <row r="68" spans="2:17" s="44" customFormat="1" x14ac:dyDescent="0.3">
      <c r="B68" s="48" t="e">
        <f ca="1">+CONCATENATE("Volume scambiato @"," ",TEXT(M64,"#.###"))&amp;"&lt;br&gt;"</f>
        <v>#NAME?</v>
      </c>
      <c r="C68" s="5"/>
      <c r="I68" s="55" t="s">
        <v>72</v>
      </c>
      <c r="J68" s="19" t="e">
        <f ca="1">+_xll.BDP(I68,$J$26)</f>
        <v>#NAME?</v>
      </c>
      <c r="K68" s="19" t="e">
        <f ca="1">+_xll.BDP(I68,$K$23)</f>
        <v>#NAME?</v>
      </c>
      <c r="L68" s="19" t="e">
        <f ca="1">+_xll.BDP(I68,$L$43)</f>
        <v>#NAME?</v>
      </c>
      <c r="M68" s="56" t="e">
        <f ca="1">+_xll.BDP(I68,$M$43)</f>
        <v>#NAME?</v>
      </c>
      <c r="Q68" s="31" t="s">
        <v>32</v>
      </c>
    </row>
    <row r="69" spans="2:17" s="44" customFormat="1" x14ac:dyDescent="0.3">
      <c r="B69" s="41" t="str">
        <f>+"&lt;B&gt;"&amp;"Poste Italiane"&amp;"&lt;/B&gt;"&amp;"&lt;br&gt;"</f>
        <v>&lt;B&gt;Poste Italiane&lt;/B&gt;&lt;br&gt;</v>
      </c>
      <c r="C69" s="51"/>
      <c r="Q69" s="31" t="s">
        <v>90</v>
      </c>
    </row>
    <row r="70" spans="2:17" s="44" customFormat="1" x14ac:dyDescent="0.3">
      <c r="B70" s="45" t="e">
        <f ca="1">+CONCATENATE("Prezzo corrente @"," ",J68)&amp;"&lt;br&gt;"</f>
        <v>#NAME?</v>
      </c>
      <c r="C70" s="5"/>
      <c r="Q70" s="15" t="s">
        <v>34</v>
      </c>
    </row>
    <row r="71" spans="2:17" s="44" customFormat="1" x14ac:dyDescent="0.3">
      <c r="B71" s="48" t="e">
        <f ca="1">+CONCATENATE("Pct Change @ "," ",ROUND(L68,2),"%")&amp;"&lt;br&gt;"</f>
        <v>#NAME?</v>
      </c>
      <c r="C71" s="5"/>
      <c r="Q71" s="15"/>
    </row>
    <row r="72" spans="2:17" s="44" customFormat="1" x14ac:dyDescent="0.3">
      <c r="B72" s="48" t="e">
        <f ca="1">+CONCATENATE("Volume scambiato @"," ",TEXT(M68,"#.###"))&amp;"&lt;br&gt;"</f>
        <v>#NAME?</v>
      </c>
      <c r="C72" s="5"/>
      <c r="I72" s="55" t="s">
        <v>60</v>
      </c>
      <c r="J72" s="19" t="e">
        <f ca="1">+_xll.BDP(I72,$J$26)</f>
        <v>#NAME?</v>
      </c>
      <c r="K72" s="19" t="e">
        <f ca="1">+_xll.BDP(I72,$K$23)</f>
        <v>#NAME?</v>
      </c>
      <c r="L72" s="19" t="e">
        <f ca="1">+_xll.BDP(I72,$L$43)</f>
        <v>#NAME?</v>
      </c>
      <c r="M72" s="56" t="e">
        <f ca="1">+_xll.BDP(I72,$M$43)</f>
        <v>#NAME?</v>
      </c>
      <c r="Q72" s="15"/>
    </row>
    <row r="73" spans="2:17" s="44" customFormat="1" x14ac:dyDescent="0.3">
      <c r="B73" s="41" t="str">
        <f>+"&lt;B&gt;"&amp;"Telecom Italia"&amp;"&lt;/B&gt;"&amp;"&lt;br&gt;"</f>
        <v>&lt;B&gt;Telecom Italia&lt;/B&gt;&lt;br&gt;</v>
      </c>
      <c r="C73" s="5"/>
      <c r="Q73" s="15"/>
    </row>
    <row r="74" spans="2:17" s="44" customFormat="1" x14ac:dyDescent="0.3">
      <c r="B74" s="45" t="e">
        <f ca="1">+CONCATENATE("Prezzo corrente @"," ",J72)&amp;"&lt;br&gt;"</f>
        <v>#NAME?</v>
      </c>
      <c r="C74" s="5"/>
      <c r="Q74" s="15"/>
    </row>
    <row r="75" spans="2:17" s="44" customFormat="1" x14ac:dyDescent="0.3">
      <c r="B75" s="48" t="e">
        <f ca="1">+CONCATENATE("Pct Change @ "," ",ROUND(L72,2),"%")&amp;"&lt;br&gt;"</f>
        <v>#NAME?</v>
      </c>
      <c r="C75" s="5"/>
      <c r="Q75" s="15"/>
    </row>
    <row r="76" spans="2:17" x14ac:dyDescent="0.3">
      <c r="B76" s="48" t="e">
        <f ca="1">+CONCATENATE("Volume scambiato @"," ",TEXT(M72,"#.###"))&amp;"&lt;br&gt;"</f>
        <v>#NAME?</v>
      </c>
      <c r="C76" s="42" t="s">
        <v>24</v>
      </c>
      <c r="Q76" s="15"/>
    </row>
    <row r="77" spans="2:17" ht="30" customHeight="1" x14ac:dyDescent="0.3">
      <c r="B77" s="38" t="s">
        <v>15</v>
      </c>
      <c r="C77" s="5"/>
      <c r="Q77" s="15"/>
    </row>
    <row r="78" spans="2:17" x14ac:dyDescent="0.3">
      <c r="B78" s="40" t="str">
        <f>+"&lt;B&gt;&lt;U&gt;"&amp;"In calce l'ultimo aggiornamento  al "&amp;TEXT(COPYDATAORA,"gg/mm/aa h:m")&amp;"&lt;/B&gt;&lt;/u&gt;&lt;br&gt;"</f>
        <v>&lt;B&gt;&lt;U&gt;In calce l'ultimo aggiornamento  al 29/05/18 12:30&lt;/B&gt;&lt;/u&gt;&lt;br&gt;</v>
      </c>
      <c r="C78" s="5"/>
      <c r="Q78" s="15"/>
    </row>
    <row r="79" spans="2:17" x14ac:dyDescent="0.3">
      <c r="B79" s="36" t="str">
        <f>+IF('Utima rilevazione inviata'!B3="","",'Utima rilevazione inviata'!B3)</f>
        <v/>
      </c>
      <c r="C79" s="5"/>
      <c r="Q79" s="15"/>
    </row>
    <row r="80" spans="2:17" x14ac:dyDescent="0.3">
      <c r="B80" s="36" t="str">
        <f>+IF('Utima rilevazione inviata'!B4="","",'Utima rilevazione inviata'!B4)</f>
        <v/>
      </c>
      <c r="C80" s="5"/>
      <c r="Q80" s="15"/>
    </row>
    <row r="81" spans="2:17" x14ac:dyDescent="0.3">
      <c r="B81" s="36" t="str">
        <f>+IF('Utima rilevazione inviata'!B5="","",'Utima rilevazione inviata'!B5)</f>
        <v/>
      </c>
      <c r="C81" s="5"/>
      <c r="Q81" s="19"/>
    </row>
    <row r="82" spans="2:17" x14ac:dyDescent="0.3">
      <c r="B82" s="22" t="str">
        <f>+IF('Utima rilevazione inviata'!B6="","",'Utima rilevazione inviata'!B6)</f>
        <v/>
      </c>
      <c r="C82" s="5"/>
    </row>
    <row r="83" spans="2:17" x14ac:dyDescent="0.3">
      <c r="B83" s="22" t="str">
        <f>+IF('Utima rilevazione inviata'!B7="","",'Utima rilevazione inviata'!B7)</f>
        <v/>
      </c>
      <c r="C83" s="5"/>
    </row>
    <row r="84" spans="2:17" x14ac:dyDescent="0.3">
      <c r="B84" s="22" t="str">
        <f>+IF('Utima rilevazione inviata'!B8="","",'Utima rilevazione inviata'!B8)</f>
        <v/>
      </c>
      <c r="C84" s="5"/>
    </row>
    <row r="85" spans="2:17" x14ac:dyDescent="0.3">
      <c r="B85" s="22" t="str">
        <f>+IF('Utima rilevazione inviata'!B9="","",'Utima rilevazione inviata'!B9)</f>
        <v/>
      </c>
      <c r="C85" s="5"/>
    </row>
    <row r="86" spans="2:17" x14ac:dyDescent="0.3">
      <c r="B86" s="22" t="str">
        <f>+IF('Utima rilevazione inviata'!B10="","",'Utima rilevazione inviata'!B10)</f>
        <v/>
      </c>
      <c r="C86" s="5"/>
    </row>
    <row r="87" spans="2:17" x14ac:dyDescent="0.3">
      <c r="B87" s="22" t="str">
        <f>+IF('Utima rilevazione inviata'!B11="","",'Utima rilevazione inviata'!B11)</f>
        <v/>
      </c>
      <c r="C87" s="5"/>
    </row>
    <row r="88" spans="2:17" x14ac:dyDescent="0.3">
      <c r="B88" s="22" t="str">
        <f>+IF('Utima rilevazione inviata'!B12="","",'Utima rilevazione inviata'!B12)</f>
        <v/>
      </c>
      <c r="C88" s="5"/>
    </row>
    <row r="89" spans="2:17" x14ac:dyDescent="0.3">
      <c r="B89" s="22" t="str">
        <f>+IF('Utima rilevazione inviata'!B13="","",'Utima rilevazione inviata'!B13)</f>
        <v/>
      </c>
      <c r="C89" s="5"/>
    </row>
    <row r="90" spans="2:17" x14ac:dyDescent="0.3">
      <c r="B90" s="22" t="str">
        <f>+IF('Utima rilevazione inviata'!B14="","",'Utima rilevazione inviata'!B14)</f>
        <v/>
      </c>
      <c r="C90" s="5"/>
    </row>
    <row r="91" spans="2:17" x14ac:dyDescent="0.3">
      <c r="B91" s="22" t="str">
        <f>+IF('Utima rilevazione inviata'!B15="","",'Utima rilevazione inviata'!B15)</f>
        <v/>
      </c>
      <c r="C91" s="5"/>
    </row>
    <row r="92" spans="2:17" x14ac:dyDescent="0.3">
      <c r="B92" s="22" t="str">
        <f>+IF('Utima rilevazione inviata'!B16="","",'Utima rilevazione inviata'!B16)</f>
        <v/>
      </c>
      <c r="C92" s="5"/>
    </row>
    <row r="93" spans="2:17" x14ac:dyDescent="0.3">
      <c r="B93" s="22" t="str">
        <f>+IF('Utima rilevazione inviata'!B17="","",'Utima rilevazione inviata'!B17)</f>
        <v/>
      </c>
      <c r="C93" s="5"/>
    </row>
    <row r="94" spans="2:17" x14ac:dyDescent="0.3">
      <c r="B94" s="22" t="str">
        <f>+IF('Utima rilevazione inviata'!B18="","",'Utima rilevazione inviata'!B18)</f>
        <v/>
      </c>
      <c r="C94" s="5"/>
    </row>
    <row r="95" spans="2:17" ht="24.75" customHeight="1" x14ac:dyDescent="0.3">
      <c r="B95" s="22" t="str">
        <f>+IF('Utima rilevazione inviata'!B19="","",'Utima rilevazione inviata'!B19)</f>
        <v/>
      </c>
      <c r="C95" s="5"/>
    </row>
    <row r="96" spans="2:17" x14ac:dyDescent="0.3">
      <c r="B96" s="22" t="str">
        <f>+IF('Utima rilevazione inviata'!B20="","",'Utima rilevazione inviata'!B20)</f>
        <v/>
      </c>
      <c r="C96" s="5"/>
    </row>
    <row r="97" spans="2:3" x14ac:dyDescent="0.3">
      <c r="B97" s="22" t="str">
        <f>+IF('Utima rilevazione inviata'!B21="","",'Utima rilevazione inviata'!B21)</f>
        <v/>
      </c>
      <c r="C97" s="5"/>
    </row>
    <row r="98" spans="2:3" x14ac:dyDescent="0.3">
      <c r="B98" s="22" t="str">
        <f>+IF('Utima rilevazione inviata'!B22="","",'Utima rilevazione inviata'!B22)</f>
        <v/>
      </c>
      <c r="C98" s="5"/>
    </row>
    <row r="99" spans="2:3" x14ac:dyDescent="0.3">
      <c r="B99" s="22" t="str">
        <f>+IF('Utima rilevazione inviata'!B23="","",'Utima rilevazione inviata'!B23)</f>
        <v/>
      </c>
      <c r="C99" s="5"/>
    </row>
    <row r="100" spans="2:3" x14ac:dyDescent="0.3">
      <c r="B100" s="22" t="str">
        <f>+IF('Utima rilevazione inviata'!B24="","",'Utima rilevazione inviata'!B24)</f>
        <v/>
      </c>
      <c r="C100" s="5"/>
    </row>
    <row r="101" spans="2:3" x14ac:dyDescent="0.3">
      <c r="B101" s="22" t="str">
        <f>+IF('Utima rilevazione inviata'!B25="","",'Utima rilevazione inviata'!B25)</f>
        <v/>
      </c>
      <c r="C101" s="32"/>
    </row>
    <row r="102" spans="2:3" x14ac:dyDescent="0.3">
      <c r="B102" s="22" t="str">
        <f>+IF('Utima rilevazione inviata'!B26="","",'Utima rilevazione inviata'!B26)</f>
        <v/>
      </c>
      <c r="C102" s="32"/>
    </row>
    <row r="103" spans="2:3" x14ac:dyDescent="0.3">
      <c r="B103" s="22" t="str">
        <f>+IF('Utima rilevazione inviata'!B27="","",'Utima rilevazione inviata'!B27)</f>
        <v/>
      </c>
      <c r="C103" s="32"/>
    </row>
    <row r="104" spans="2:3" x14ac:dyDescent="0.3">
      <c r="B104" s="22" t="str">
        <f>+IF('Utima rilevazione inviata'!B28="","",'Utima rilevazione inviata'!B28)</f>
        <v/>
      </c>
      <c r="C104" s="32"/>
    </row>
    <row r="105" spans="2:3" x14ac:dyDescent="0.3">
      <c r="B105" s="22" t="str">
        <f>+IF('Utima rilevazione inviata'!B29="","",'Utima rilevazione inviata'!B29)</f>
        <v/>
      </c>
      <c r="C105" s="32"/>
    </row>
    <row r="106" spans="2:3" x14ac:dyDescent="0.3">
      <c r="B106" s="22" t="str">
        <f>+IF('Utima rilevazione inviata'!B30="","",'Utima rilevazione inviata'!B30)</f>
        <v/>
      </c>
      <c r="C106" s="32"/>
    </row>
    <row r="107" spans="2:3" x14ac:dyDescent="0.3">
      <c r="B107" s="16" t="str">
        <f>+IF('Utima rilevazione inviata'!B31="","",'Utima rilevazione inviata'!B31)</f>
        <v/>
      </c>
      <c r="C107" s="32"/>
    </row>
    <row r="108" spans="2:3" x14ac:dyDescent="0.3">
      <c r="B108" s="16" t="str">
        <f>+IF('Utima rilevazione inviata'!B32="","",'Utima rilevazione inviata'!B32)</f>
        <v/>
      </c>
      <c r="C108" s="32"/>
    </row>
    <row r="109" spans="2:3" x14ac:dyDescent="0.3">
      <c r="B109" s="16" t="str">
        <f>+IF('Utima rilevazione inviata'!B33="","",'Utima rilevazione inviata'!B33)</f>
        <v/>
      </c>
      <c r="C109" s="32"/>
    </row>
    <row r="110" spans="2:3" x14ac:dyDescent="0.3">
      <c r="B110" s="16" t="str">
        <f>+IF('Utima rilevazione inviata'!B34="","",'Utima rilevazione inviata'!B34)</f>
        <v/>
      </c>
      <c r="C110" s="32"/>
    </row>
    <row r="111" spans="2:3" x14ac:dyDescent="0.3">
      <c r="B111" s="16" t="str">
        <f>+IF('Utima rilevazione inviata'!B35="","",'Utima rilevazione inviata'!B35)</f>
        <v/>
      </c>
      <c r="C111" s="32"/>
    </row>
    <row r="112" spans="2:3" x14ac:dyDescent="0.3">
      <c r="B112" s="16" t="str">
        <f>+IF('Utima rilevazione inviata'!B36="","",'Utima rilevazione inviata'!B36)</f>
        <v/>
      </c>
      <c r="C112" s="32"/>
    </row>
    <row r="113" spans="2:3" x14ac:dyDescent="0.3">
      <c r="B113" s="16" t="str">
        <f>+IF('Utima rilevazione inviata'!B37="","",'Utima rilevazione inviata'!B37)</f>
        <v/>
      </c>
      <c r="C113" s="32"/>
    </row>
    <row r="114" spans="2:3" x14ac:dyDescent="0.3">
      <c r="B114" s="16" t="str">
        <f>+IF('Utima rilevazione inviata'!B38="","",'Utima rilevazione inviata'!B38)</f>
        <v/>
      </c>
      <c r="C114" s="33"/>
    </row>
    <row r="115" spans="2:3" x14ac:dyDescent="0.3">
      <c r="B115" s="16" t="str">
        <f>+IF('Utima rilevazione inviata'!B39="","",'Utima rilevazione inviata'!B39)</f>
        <v/>
      </c>
      <c r="C115" s="32"/>
    </row>
    <row r="116" spans="2:3" x14ac:dyDescent="0.3">
      <c r="B116" s="16" t="str">
        <f>+IF('Utima rilevazione inviata'!B40="","",'Utima rilevazione inviata'!B40)</f>
        <v/>
      </c>
      <c r="C116" s="33"/>
    </row>
    <row r="117" spans="2:3" x14ac:dyDescent="0.3">
      <c r="B117" s="16" t="str">
        <f>+IF('Utima rilevazione inviata'!B41="","",'Utima rilevazione inviata'!B41)</f>
        <v/>
      </c>
      <c r="C117" s="5"/>
    </row>
    <row r="118" spans="2:3" x14ac:dyDescent="0.3">
      <c r="B118" s="16" t="str">
        <f>+IF('Utima rilevazione inviata'!B42="","",'Utima rilevazione inviata'!B42)</f>
        <v/>
      </c>
    </row>
    <row r="119" spans="2:3" x14ac:dyDescent="0.3">
      <c r="B119" s="16" t="str">
        <f>+IF('Utima rilevazione inviata'!B43="","",'Utima rilevazione inviata'!B43)</f>
        <v/>
      </c>
    </row>
    <row r="120" spans="2:3" x14ac:dyDescent="0.3">
      <c r="B120" s="17" t="str">
        <f>+IF('Utima rilevazione inviata'!B44="","",'Utima rilevazione inviata'!B44)</f>
        <v/>
      </c>
    </row>
    <row r="121" spans="2:3" x14ac:dyDescent="0.3">
      <c r="B121" s="16" t="str">
        <f>+IF('Utima rilevazione inviata'!B45="","",'Utima rilevazione inviata'!B45)</f>
        <v/>
      </c>
    </row>
    <row r="122" spans="2:3" x14ac:dyDescent="0.3">
      <c r="B122" s="16" t="str">
        <f>+IF('Utima rilevazione inviata'!B46="","",'Utima rilevazione inviata'!B46)</f>
        <v/>
      </c>
    </row>
    <row r="123" spans="2:3" x14ac:dyDescent="0.3">
      <c r="B123" s="16" t="str">
        <f>+IF('Utima rilevazione inviata'!B47="","",'Utima rilevazione inviata'!B47)</f>
        <v/>
      </c>
    </row>
    <row r="124" spans="2:3" x14ac:dyDescent="0.3">
      <c r="B124" s="16" t="str">
        <f>+IF('Utima rilevazione inviata'!B48="","",'Utima rilevazione inviata'!B48)</f>
        <v/>
      </c>
    </row>
    <row r="125" spans="2:3" x14ac:dyDescent="0.3">
      <c r="B125" s="16" t="str">
        <f>+IF('Utima rilevazione inviata'!B49="","",'Utima rilevazione inviata'!B49)</f>
        <v/>
      </c>
    </row>
    <row r="126" spans="2:3" x14ac:dyDescent="0.3">
      <c r="B126" s="16" t="str">
        <f>+IF('Utima rilevazione inviata'!B50="","",'Utima rilevazione inviata'!B50)</f>
        <v/>
      </c>
    </row>
    <row r="127" spans="2:3" x14ac:dyDescent="0.3">
      <c r="B127" s="16" t="str">
        <f>+IF('Utima rilevazione inviata'!B51="","",'Utima rilevazione inviata'!B51)</f>
        <v/>
      </c>
    </row>
    <row r="128" spans="2:3" x14ac:dyDescent="0.3">
      <c r="B128" s="16" t="str">
        <f>+IF('Utima rilevazione inviata'!B52="","",'Utima rilevazione inviata'!B52)</f>
        <v/>
      </c>
    </row>
    <row r="129" spans="2:2" x14ac:dyDescent="0.3">
      <c r="B129" s="16" t="str">
        <f>+IF('Utima rilevazione inviata'!B53="","",'Utima rilevazione inviata'!B53)</f>
        <v/>
      </c>
    </row>
    <row r="130" spans="2:2" x14ac:dyDescent="0.3">
      <c r="B130" s="16" t="str">
        <f>+IF('Utima rilevazione inviata'!B54="","",'Utima rilevazione inviata'!B54)</f>
        <v/>
      </c>
    </row>
    <row r="131" spans="2:2" x14ac:dyDescent="0.3">
      <c r="B131" s="16" t="str">
        <f>+IF('Utima rilevazione inviata'!B55="","",'Utima rilevazione inviata'!B55)</f>
        <v/>
      </c>
    </row>
    <row r="132" spans="2:2" x14ac:dyDescent="0.3">
      <c r="B132" s="16" t="str">
        <f>+IF('Utima rilevazione inviata'!B56="","",'Utima rilevazione inviata'!B56)</f>
        <v/>
      </c>
    </row>
    <row r="133" spans="2:2" x14ac:dyDescent="0.3">
      <c r="B133" s="16" t="str">
        <f>+IF('Utima rilevazione inviata'!B57="","",'Utima rilevazione inviata'!B57)</f>
        <v/>
      </c>
    </row>
    <row r="134" spans="2:2" x14ac:dyDescent="0.3">
      <c r="B134" s="45" t="str">
        <f>+IF('Utima rilevazione inviata'!B58="","",'Utima rilevazione inviata'!B58)</f>
        <v/>
      </c>
    </row>
    <row r="135" spans="2:2" x14ac:dyDescent="0.3">
      <c r="B135" s="45" t="str">
        <f>+IF('Utima rilevazione inviata'!B59="","",'Utima rilevazione inviata'!B59)</f>
        <v/>
      </c>
    </row>
    <row r="136" spans="2:2" x14ac:dyDescent="0.3">
      <c r="B136" s="45" t="str">
        <f>+IF('Utima rilevazione inviata'!B60="","",'Utima rilevazione inviata'!B60)</f>
        <v/>
      </c>
    </row>
    <row r="137" spans="2:2" x14ac:dyDescent="0.3">
      <c r="B137" s="45" t="str">
        <f>+IF('Utima rilevazione inviata'!B61="","",'Utima rilevazione inviata'!B61)</f>
        <v/>
      </c>
    </row>
    <row r="138" spans="2:2" x14ac:dyDescent="0.3">
      <c r="B138" s="45" t="str">
        <f>+IF('Utima rilevazione inviata'!B62="","",'Utima rilevazione inviata'!B62)</f>
        <v/>
      </c>
    </row>
    <row r="139" spans="2:2" x14ac:dyDescent="0.3">
      <c r="B139" s="45" t="str">
        <f>+IF('Utima rilevazione inviata'!B63="","",'Utima rilevazione inviata'!B63)</f>
        <v/>
      </c>
    </row>
    <row r="140" spans="2:2" x14ac:dyDescent="0.3">
      <c r="B140" s="45" t="str">
        <f>+IF('Utima rilevazione inviata'!B64="","",'Utima rilevazione inviata'!B64)</f>
        <v/>
      </c>
    </row>
    <row r="141" spans="2:2" x14ac:dyDescent="0.3">
      <c r="B141" s="45" t="str">
        <f>+IF('Utima rilevazione inviata'!B65="","",'Utima rilevazione inviata'!B65)</f>
        <v/>
      </c>
    </row>
    <row r="142" spans="2:2" x14ac:dyDescent="0.3">
      <c r="B142" s="45" t="str">
        <f>+IF('Utima rilevazione inviata'!B66="","",'Utima rilevazione inviata'!B66)</f>
        <v/>
      </c>
    </row>
    <row r="143" spans="2:2" x14ac:dyDescent="0.3">
      <c r="B143" s="45" t="str">
        <f>+IF('Utima rilevazione inviata'!B67="","",'Utima rilevazione inviata'!B67)</f>
        <v/>
      </c>
    </row>
    <row r="144" spans="2:2" x14ac:dyDescent="0.3">
      <c r="B144" s="45" t="str">
        <f>+IF('Utima rilevazione inviata'!B68="","",'Utima rilevazione inviata'!B68)</f>
        <v/>
      </c>
    </row>
    <row r="145" spans="2:2" x14ac:dyDescent="0.3">
      <c r="B145" s="39" t="s">
        <v>15</v>
      </c>
    </row>
    <row r="146" spans="2:2" ht="28.8" x14ac:dyDescent="0.3">
      <c r="B146" s="45" t="s">
        <v>28</v>
      </c>
    </row>
    <row r="147" spans="2:2" x14ac:dyDescent="0.3">
      <c r="B147" s="45" t="s">
        <v>29</v>
      </c>
    </row>
    <row r="148" spans="2:2" x14ac:dyDescent="0.3">
      <c r="B148" s="45" t="s">
        <v>91</v>
      </c>
    </row>
    <row r="149" spans="2:2" x14ac:dyDescent="0.3">
      <c r="B149" s="45" t="s">
        <v>12</v>
      </c>
    </row>
    <row r="150" spans="2:2" x14ac:dyDescent="0.3">
      <c r="B150" s="45" t="s">
        <v>13</v>
      </c>
    </row>
    <row r="151" spans="2:2" x14ac:dyDescent="0.3">
      <c r="B151" s="45" t="s">
        <v>14</v>
      </c>
    </row>
    <row r="152" spans="2:2" x14ac:dyDescent="0.3">
      <c r="B152" s="45"/>
    </row>
    <row r="153" spans="2:2" x14ac:dyDescent="0.3">
      <c r="B153" s="45"/>
    </row>
    <row r="154" spans="2:2" x14ac:dyDescent="0.3">
      <c r="B154" s="16"/>
    </row>
    <row r="155" spans="2:2" x14ac:dyDescent="0.3">
      <c r="B155" s="16"/>
    </row>
    <row r="156" spans="2:2" x14ac:dyDescent="0.3">
      <c r="B156" s="16"/>
    </row>
    <row r="157" spans="2:2" x14ac:dyDescent="0.3">
      <c r="B157" s="16"/>
    </row>
    <row r="158" spans="2:2" x14ac:dyDescent="0.3">
      <c r="B158" s="16"/>
    </row>
    <row r="159" spans="2:2" x14ac:dyDescent="0.3">
      <c r="B159" s="16"/>
    </row>
    <row r="160" spans="2:2" x14ac:dyDescent="0.3">
      <c r="B160" s="16"/>
    </row>
    <row r="161" spans="2:2" x14ac:dyDescent="0.3">
      <c r="B161" s="16"/>
    </row>
    <row r="162" spans="2:2" x14ac:dyDescent="0.3">
      <c r="B162" s="16"/>
    </row>
    <row r="163" spans="2:2" x14ac:dyDescent="0.3">
      <c r="B163" s="16"/>
    </row>
    <row r="164" spans="2:2" x14ac:dyDescent="0.3">
      <c r="B164" s="16"/>
    </row>
    <row r="165" spans="2:2" x14ac:dyDescent="0.3">
      <c r="B165" s="16"/>
    </row>
    <row r="166" spans="2:2" x14ac:dyDescent="0.3">
      <c r="B166" s="16"/>
    </row>
    <row r="167" spans="2:2" x14ac:dyDescent="0.3">
      <c r="B167" s="16"/>
    </row>
    <row r="168" spans="2:2" x14ac:dyDescent="0.3">
      <c r="B168" s="16"/>
    </row>
    <row r="169" spans="2:2" x14ac:dyDescent="0.3">
      <c r="B169" s="16"/>
    </row>
    <row r="170" spans="2:2" x14ac:dyDescent="0.3">
      <c r="B170" s="16"/>
    </row>
    <row r="171" spans="2:2" x14ac:dyDescent="0.3">
      <c r="B171" s="16"/>
    </row>
    <row r="172" spans="2:2" x14ac:dyDescent="0.3">
      <c r="B172" s="16"/>
    </row>
    <row r="173" spans="2:2" x14ac:dyDescent="0.3">
      <c r="B173" s="16"/>
    </row>
    <row r="174" spans="2:2" x14ac:dyDescent="0.3">
      <c r="B174" s="16"/>
    </row>
    <row r="175" spans="2:2" x14ac:dyDescent="0.3">
      <c r="B175" s="16"/>
    </row>
    <row r="176" spans="2:2" x14ac:dyDescent="0.3">
      <c r="B176" s="16"/>
    </row>
    <row r="177" spans="2:2" x14ac:dyDescent="0.3">
      <c r="B177" s="16"/>
    </row>
    <row r="178" spans="2:2" x14ac:dyDescent="0.3">
      <c r="B178" s="16"/>
    </row>
    <row r="179" spans="2:2" x14ac:dyDescent="0.3">
      <c r="B179" s="16"/>
    </row>
    <row r="180" spans="2:2" x14ac:dyDescent="0.3">
      <c r="B180" s="16"/>
    </row>
    <row r="181" spans="2:2" x14ac:dyDescent="0.3">
      <c r="B181" s="16"/>
    </row>
    <row r="182" spans="2:2" x14ac:dyDescent="0.3">
      <c r="B182" s="16"/>
    </row>
    <row r="183" spans="2:2" x14ac:dyDescent="0.3">
      <c r="B183" s="16"/>
    </row>
    <row r="184" spans="2:2" x14ac:dyDescent="0.3">
      <c r="B184" s="16"/>
    </row>
    <row r="185" spans="2:2" x14ac:dyDescent="0.3">
      <c r="B185" s="16"/>
    </row>
    <row r="186" spans="2:2" x14ac:dyDescent="0.3">
      <c r="B186" s="16"/>
    </row>
    <row r="187" spans="2:2" x14ac:dyDescent="0.3">
      <c r="B187" s="16"/>
    </row>
    <row r="188" spans="2:2" x14ac:dyDescent="0.3">
      <c r="B188" s="16"/>
    </row>
    <row r="189" spans="2:2" x14ac:dyDescent="0.3">
      <c r="B189" s="16"/>
    </row>
    <row r="190" spans="2:2" x14ac:dyDescent="0.3">
      <c r="B190" s="16"/>
    </row>
    <row r="191" spans="2:2" x14ac:dyDescent="0.3">
      <c r="B191" s="16"/>
    </row>
    <row r="192" spans="2:2" x14ac:dyDescent="0.3">
      <c r="B192" s="16"/>
    </row>
    <row r="193" spans="2:2" x14ac:dyDescent="0.3">
      <c r="B193" s="16"/>
    </row>
    <row r="194" spans="2:2" x14ac:dyDescent="0.3">
      <c r="B194" s="16"/>
    </row>
    <row r="195" spans="2:2" x14ac:dyDescent="0.3">
      <c r="B195" s="16"/>
    </row>
    <row r="196" spans="2:2" x14ac:dyDescent="0.3">
      <c r="B196" s="16"/>
    </row>
    <row r="197" spans="2:2" x14ac:dyDescent="0.3">
      <c r="B197" s="16"/>
    </row>
    <row r="198" spans="2:2" x14ac:dyDescent="0.3">
      <c r="B198" s="16"/>
    </row>
    <row r="199" spans="2:2" x14ac:dyDescent="0.3">
      <c r="B199" s="16"/>
    </row>
    <row r="200" spans="2:2" x14ac:dyDescent="0.3">
      <c r="B200" s="16"/>
    </row>
    <row r="201" spans="2:2" x14ac:dyDescent="0.3">
      <c r="B201" s="16"/>
    </row>
    <row r="202" spans="2:2" x14ac:dyDescent="0.3">
      <c r="B202" s="16"/>
    </row>
    <row r="203" spans="2:2" x14ac:dyDescent="0.3">
      <c r="B203" s="16"/>
    </row>
    <row r="204" spans="2:2" x14ac:dyDescent="0.3">
      <c r="B204" s="16"/>
    </row>
    <row r="205" spans="2:2" x14ac:dyDescent="0.3">
      <c r="B205" s="16"/>
    </row>
    <row r="206" spans="2:2" x14ac:dyDescent="0.3">
      <c r="B206" s="16"/>
    </row>
    <row r="207" spans="2:2" x14ac:dyDescent="0.3">
      <c r="B207" s="16"/>
    </row>
    <row r="208" spans="2:2" x14ac:dyDescent="0.3">
      <c r="B208" s="16"/>
    </row>
    <row r="209" spans="2:2" x14ac:dyDescent="0.3">
      <c r="B209" s="16"/>
    </row>
    <row r="210" spans="2:2" x14ac:dyDescent="0.3">
      <c r="B210" s="16"/>
    </row>
    <row r="211" spans="2:2" x14ac:dyDescent="0.3">
      <c r="B211" s="16"/>
    </row>
    <row r="212" spans="2:2" x14ac:dyDescent="0.3">
      <c r="B212" s="16"/>
    </row>
    <row r="213" spans="2:2" x14ac:dyDescent="0.3">
      <c r="B213" s="16"/>
    </row>
    <row r="214" spans="2:2" x14ac:dyDescent="0.3">
      <c r="B214" s="16"/>
    </row>
    <row r="215" spans="2:2" x14ac:dyDescent="0.3">
      <c r="B215" s="16"/>
    </row>
    <row r="216" spans="2:2" x14ac:dyDescent="0.3">
      <c r="B216" s="16"/>
    </row>
    <row r="217" spans="2:2" x14ac:dyDescent="0.3">
      <c r="B217" s="16"/>
    </row>
    <row r="218" spans="2:2" x14ac:dyDescent="0.3">
      <c r="B218" s="16"/>
    </row>
    <row r="219" spans="2:2" x14ac:dyDescent="0.3">
      <c r="B219" s="16"/>
    </row>
    <row r="220" spans="2:2" x14ac:dyDescent="0.3">
      <c r="B220" s="16"/>
    </row>
    <row r="221" spans="2:2" x14ac:dyDescent="0.3">
      <c r="B221" s="16"/>
    </row>
    <row r="222" spans="2:2" x14ac:dyDescent="0.3">
      <c r="B222" s="16"/>
    </row>
    <row r="223" spans="2:2" x14ac:dyDescent="0.3">
      <c r="B223" s="16"/>
    </row>
    <row r="224" spans="2:2" x14ac:dyDescent="0.3">
      <c r="B224" s="16"/>
    </row>
    <row r="225" spans="2:2" x14ac:dyDescent="0.3">
      <c r="B225" s="16"/>
    </row>
    <row r="226" spans="2:2" x14ac:dyDescent="0.3">
      <c r="B226" s="16"/>
    </row>
    <row r="227" spans="2:2" x14ac:dyDescent="0.3">
      <c r="B227" s="16"/>
    </row>
    <row r="228" spans="2:2" x14ac:dyDescent="0.3">
      <c r="B228" s="16"/>
    </row>
    <row r="229" spans="2:2" x14ac:dyDescent="0.3">
      <c r="B229" s="16"/>
    </row>
    <row r="230" spans="2:2" x14ac:dyDescent="0.3">
      <c r="B230" s="16"/>
    </row>
    <row r="231" spans="2:2" x14ac:dyDescent="0.3">
      <c r="B231" s="16"/>
    </row>
    <row r="232" spans="2:2" x14ac:dyDescent="0.3">
      <c r="B232" s="16"/>
    </row>
    <row r="233" spans="2:2" x14ac:dyDescent="0.3">
      <c r="B233" s="16"/>
    </row>
    <row r="234" spans="2:2" x14ac:dyDescent="0.3">
      <c r="B234" s="16"/>
    </row>
    <row r="235" spans="2:2" x14ac:dyDescent="0.3">
      <c r="B235" s="16"/>
    </row>
    <row r="236" spans="2:2" x14ac:dyDescent="0.3">
      <c r="B236" s="16"/>
    </row>
    <row r="237" spans="2:2" x14ac:dyDescent="0.3">
      <c r="B237" s="16"/>
    </row>
    <row r="238" spans="2:2" x14ac:dyDescent="0.3">
      <c r="B238" s="16"/>
    </row>
    <row r="239" spans="2:2" x14ac:dyDescent="0.3">
      <c r="B239" s="16"/>
    </row>
    <row r="240" spans="2:2" x14ac:dyDescent="0.3">
      <c r="B240" s="16"/>
    </row>
    <row r="241" spans="2:2" x14ac:dyDescent="0.3">
      <c r="B241" s="16"/>
    </row>
    <row r="242" spans="2:2" x14ac:dyDescent="0.3">
      <c r="B242" s="16"/>
    </row>
    <row r="243" spans="2:2" x14ac:dyDescent="0.3">
      <c r="B243" s="16"/>
    </row>
    <row r="244" spans="2:2" x14ac:dyDescent="0.3">
      <c r="B244" s="16"/>
    </row>
    <row r="245" spans="2:2" x14ac:dyDescent="0.3">
      <c r="B245" s="16"/>
    </row>
    <row r="246" spans="2:2" x14ac:dyDescent="0.3">
      <c r="B246" s="16"/>
    </row>
    <row r="247" spans="2:2" x14ac:dyDescent="0.3">
      <c r="B247" s="16"/>
    </row>
    <row r="248" spans="2:2" x14ac:dyDescent="0.3">
      <c r="B248" s="16"/>
    </row>
    <row r="249" spans="2:2" x14ac:dyDescent="0.3">
      <c r="B249" s="16"/>
    </row>
    <row r="250" spans="2:2" x14ac:dyDescent="0.3">
      <c r="B250" s="16"/>
    </row>
    <row r="251" spans="2:2" x14ac:dyDescent="0.3">
      <c r="B251" s="16"/>
    </row>
    <row r="252" spans="2:2" x14ac:dyDescent="0.3">
      <c r="B252" s="16"/>
    </row>
    <row r="253" spans="2:2" x14ac:dyDescent="0.3">
      <c r="B253" s="16"/>
    </row>
    <row r="254" spans="2:2" x14ac:dyDescent="0.3">
      <c r="B254" s="16"/>
    </row>
    <row r="255" spans="2:2" x14ac:dyDescent="0.3">
      <c r="B255" s="16"/>
    </row>
    <row r="256" spans="2:2" x14ac:dyDescent="0.3">
      <c r="B256" s="16"/>
    </row>
    <row r="257" spans="2:2" x14ac:dyDescent="0.3">
      <c r="B257" s="16"/>
    </row>
    <row r="258" spans="2:2" x14ac:dyDescent="0.3">
      <c r="B258" s="16"/>
    </row>
    <row r="259" spans="2:2" x14ac:dyDescent="0.3">
      <c r="B259" s="16"/>
    </row>
    <row r="260" spans="2:2" x14ac:dyDescent="0.3">
      <c r="B260" s="16"/>
    </row>
    <row r="261" spans="2:2" x14ac:dyDescent="0.3">
      <c r="B261" s="16"/>
    </row>
    <row r="262" spans="2:2" x14ac:dyDescent="0.3">
      <c r="B262" s="16"/>
    </row>
    <row r="263" spans="2:2" x14ac:dyDescent="0.3">
      <c r="B263" s="16"/>
    </row>
    <row r="264" spans="2:2" x14ac:dyDescent="0.3">
      <c r="B264" s="16"/>
    </row>
    <row r="265" spans="2:2" x14ac:dyDescent="0.3">
      <c r="B265" s="16"/>
    </row>
    <row r="266" spans="2:2" x14ac:dyDescent="0.3">
      <c r="B266" s="16"/>
    </row>
    <row r="267" spans="2:2" x14ac:dyDescent="0.3">
      <c r="B267" s="16"/>
    </row>
    <row r="268" spans="2:2" x14ac:dyDescent="0.3">
      <c r="B268" s="16"/>
    </row>
    <row r="269" spans="2:2" x14ac:dyDescent="0.3">
      <c r="B269" s="16"/>
    </row>
    <row r="270" spans="2:2" x14ac:dyDescent="0.3">
      <c r="B270" s="16"/>
    </row>
    <row r="271" spans="2:2" x14ac:dyDescent="0.3">
      <c r="B271" s="16"/>
    </row>
    <row r="272" spans="2:2" x14ac:dyDescent="0.3">
      <c r="B272" s="16"/>
    </row>
    <row r="273" spans="2:2" x14ac:dyDescent="0.3">
      <c r="B273" s="16"/>
    </row>
    <row r="274" spans="2:2" x14ac:dyDescent="0.3">
      <c r="B274" s="16"/>
    </row>
    <row r="275" spans="2:2" x14ac:dyDescent="0.3">
      <c r="B275" s="16"/>
    </row>
    <row r="276" spans="2:2" x14ac:dyDescent="0.3">
      <c r="B276" s="16"/>
    </row>
    <row r="277" spans="2:2" x14ac:dyDescent="0.3">
      <c r="B277" s="16"/>
    </row>
    <row r="278" spans="2:2" x14ac:dyDescent="0.3">
      <c r="B278" s="16"/>
    </row>
    <row r="279" spans="2:2" x14ac:dyDescent="0.3">
      <c r="B279" s="16"/>
    </row>
    <row r="280" spans="2:2" x14ac:dyDescent="0.3">
      <c r="B280" s="16"/>
    </row>
    <row r="281" spans="2:2" x14ac:dyDescent="0.3">
      <c r="B281" s="16"/>
    </row>
    <row r="282" spans="2:2" x14ac:dyDescent="0.3">
      <c r="B282" s="16"/>
    </row>
    <row r="283" spans="2:2" x14ac:dyDescent="0.3">
      <c r="B283" s="16"/>
    </row>
    <row r="284" spans="2:2" x14ac:dyDescent="0.3">
      <c r="B284" s="16"/>
    </row>
    <row r="285" spans="2:2" x14ac:dyDescent="0.3">
      <c r="B285" s="16"/>
    </row>
    <row r="286" spans="2:2" x14ac:dyDescent="0.3">
      <c r="B286" s="16"/>
    </row>
    <row r="287" spans="2:2" x14ac:dyDescent="0.3">
      <c r="B287" s="16"/>
    </row>
    <row r="288" spans="2:2" x14ac:dyDescent="0.3">
      <c r="B288" s="16"/>
    </row>
    <row r="289" spans="2:2" x14ac:dyDescent="0.3">
      <c r="B289" s="16"/>
    </row>
    <row r="290" spans="2:2" x14ac:dyDescent="0.3">
      <c r="B290" s="16"/>
    </row>
    <row r="291" spans="2:2" x14ac:dyDescent="0.3">
      <c r="B291" s="16"/>
    </row>
    <row r="292" spans="2:2" x14ac:dyDescent="0.3">
      <c r="B292" s="16"/>
    </row>
    <row r="293" spans="2:2" x14ac:dyDescent="0.3">
      <c r="B293" s="16"/>
    </row>
    <row r="294" spans="2:2" x14ac:dyDescent="0.3">
      <c r="B294" s="16"/>
    </row>
    <row r="295" spans="2:2" x14ac:dyDescent="0.3">
      <c r="B295" s="16"/>
    </row>
    <row r="296" spans="2:2" x14ac:dyDescent="0.3">
      <c r="B296" s="16"/>
    </row>
    <row r="297" spans="2:2" x14ac:dyDescent="0.3">
      <c r="B297" s="16"/>
    </row>
    <row r="298" spans="2:2" x14ac:dyDescent="0.3">
      <c r="B298" s="16"/>
    </row>
    <row r="299" spans="2:2" x14ac:dyDescent="0.3">
      <c r="B299" s="16"/>
    </row>
    <row r="300" spans="2:2" x14ac:dyDescent="0.3">
      <c r="B300" s="16"/>
    </row>
    <row r="301" spans="2:2" x14ac:dyDescent="0.3">
      <c r="B301" s="16"/>
    </row>
    <row r="302" spans="2:2" x14ac:dyDescent="0.3">
      <c r="B302" s="16"/>
    </row>
    <row r="303" spans="2:2" x14ac:dyDescent="0.3">
      <c r="B303" s="16"/>
    </row>
    <row r="304" spans="2:2" x14ac:dyDescent="0.3">
      <c r="B304" s="16"/>
    </row>
    <row r="305" spans="2:2" x14ac:dyDescent="0.3">
      <c r="B305" s="16"/>
    </row>
    <row r="306" spans="2:2" x14ac:dyDescent="0.3">
      <c r="B306" s="16"/>
    </row>
    <row r="307" spans="2:2" x14ac:dyDescent="0.3">
      <c r="B307" s="16"/>
    </row>
    <row r="308" spans="2:2" x14ac:dyDescent="0.3">
      <c r="B308" s="16"/>
    </row>
    <row r="309" spans="2:2" x14ac:dyDescent="0.3">
      <c r="B309" s="16"/>
    </row>
    <row r="310" spans="2:2" x14ac:dyDescent="0.3">
      <c r="B310" s="16"/>
    </row>
    <row r="311" spans="2:2" x14ac:dyDescent="0.3">
      <c r="B311" s="16"/>
    </row>
    <row r="312" spans="2:2" x14ac:dyDescent="0.3">
      <c r="B312" s="16"/>
    </row>
    <row r="313" spans="2:2" x14ac:dyDescent="0.3">
      <c r="B313" s="16"/>
    </row>
  </sheetData>
  <phoneticPr fontId="6" type="noConversion"/>
  <hyperlinks>
    <hyperlink ref="Q63" r:id="rId1" xr:uid="{00000000-0004-0000-0100-000000000000}"/>
    <hyperlink ref="Q64" r:id="rId2" xr:uid="{00000000-0004-0000-0100-000001000000}"/>
    <hyperlink ref="Q65" r:id="rId3" xr:uid="{00000000-0004-0000-0100-000002000000}"/>
    <hyperlink ref="Q66" r:id="rId4" xr:uid="{00000000-0004-0000-0100-000003000000}"/>
    <hyperlink ref="Q34" r:id="rId5" xr:uid="{00000000-0004-0000-0100-000004000000}"/>
    <hyperlink ref="Q67" r:id="rId6" xr:uid="{00000000-0004-0000-0100-000005000000}"/>
    <hyperlink ref="Q68" r:id="rId7" xr:uid="{00000000-0004-0000-0100-000006000000}"/>
    <hyperlink ref="Q48" r:id="rId8" display="luca.chiappetta@cdp.it" xr:uid="{00000000-0004-0000-0100-000007000000}"/>
    <hyperlink ref="Q49" r:id="rId9" display="massimiliano.cotechini@cdp.it" xr:uid="{00000000-0004-0000-0100-000008000000}"/>
    <hyperlink ref="E9" r:id="rId10" xr:uid="{00000000-0004-0000-0100-000009000000}"/>
    <hyperlink ref="E25" r:id="rId11" xr:uid="{00000000-0004-0000-0100-00000A000000}"/>
    <hyperlink ref="E42" r:id="rId12" xr:uid="{00000000-0004-0000-0100-00000B000000}"/>
  </hyperlinks>
  <pageMargins left="0.7" right="0.7" top="0.75" bottom="0.75" header="0.3" footer="0.3"/>
  <pageSetup paperSize="9"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16" name="Button 7">
              <controlPr defaultSize="0" print="0" autoFill="0" autoPict="0" macro="[0]!programmazione">
                <anchor moveWithCells="1" sizeWithCells="1">
                  <from>
                    <xdr:col>1</xdr:col>
                    <xdr:colOff>4655820</xdr:colOff>
                    <xdr:row>0</xdr:row>
                    <xdr:rowOff>182880</xdr:rowOff>
                  </from>
                  <to>
                    <xdr:col>3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76"/>
  <sheetViews>
    <sheetView tabSelected="1" workbookViewId="0">
      <selection activeCell="G2" sqref="G2"/>
    </sheetView>
  </sheetViews>
  <sheetFormatPr defaultRowHeight="14.4" x14ac:dyDescent="0.3"/>
  <cols>
    <col min="1" max="1" width="36.5546875" bestFit="1" customWidth="1"/>
    <col min="2" max="3" width="15.6640625" bestFit="1" customWidth="1"/>
    <col min="4" max="4" width="10.21875" bestFit="1" customWidth="1"/>
    <col min="7" max="7" width="8.88671875" style="44"/>
  </cols>
  <sheetData>
    <row r="1" spans="1:8" s="44" customFormat="1" x14ac:dyDescent="0.3">
      <c r="A1" s="62" t="s">
        <v>157</v>
      </c>
      <c r="B1" s="62" t="s">
        <v>156</v>
      </c>
      <c r="C1" s="62" t="s">
        <v>155</v>
      </c>
      <c r="D1" s="62" t="s">
        <v>160</v>
      </c>
      <c r="E1" s="62" t="s">
        <v>163</v>
      </c>
      <c r="F1" s="62" t="s">
        <v>158</v>
      </c>
      <c r="G1" s="63" t="s">
        <v>164</v>
      </c>
      <c r="H1" s="63" t="s">
        <v>159</v>
      </c>
    </row>
    <row r="2" spans="1:8" x14ac:dyDescent="0.3">
      <c r="A2" t="s">
        <v>117</v>
      </c>
      <c r="B2" s="44" t="s">
        <v>162</v>
      </c>
      <c r="C2" s="64">
        <f ca="1">update_mail1!E2</f>
        <v>43407.880924884259</v>
      </c>
      <c r="D2" t="s">
        <v>161</v>
      </c>
      <c r="E2" s="44"/>
      <c r="F2" s="44"/>
      <c r="H2" s="44"/>
    </row>
    <row r="3" spans="1:8" x14ac:dyDescent="0.3">
      <c r="A3" t="s">
        <v>96</v>
      </c>
      <c r="B3" s="44" t="s">
        <v>95</v>
      </c>
      <c r="C3" s="60" t="str">
        <f>TEXT(update_mail1!J3,"0,0")</f>
        <v>0,0</v>
      </c>
      <c r="D3" t="s">
        <v>97</v>
      </c>
      <c r="E3" t="s">
        <v>98</v>
      </c>
      <c r="F3">
        <v>0</v>
      </c>
      <c r="G3" s="44">
        <v>0</v>
      </c>
      <c r="H3">
        <v>0</v>
      </c>
    </row>
    <row r="4" spans="1:8" x14ac:dyDescent="0.3">
      <c r="A4" s="44" t="s">
        <v>96</v>
      </c>
      <c r="B4" s="44" t="s">
        <v>95</v>
      </c>
      <c r="C4" s="60" t="str">
        <f>+TEXT((update_mail1!P3)*10,"0,000")</f>
        <v>0,000</v>
      </c>
      <c r="D4" s="57" t="s">
        <v>100</v>
      </c>
      <c r="E4" t="s">
        <v>99</v>
      </c>
      <c r="F4">
        <v>3</v>
      </c>
      <c r="G4" s="44">
        <v>0</v>
      </c>
      <c r="H4">
        <v>1</v>
      </c>
    </row>
    <row r="5" spans="1:8" x14ac:dyDescent="0.3">
      <c r="A5" s="44" t="s">
        <v>96</v>
      </c>
      <c r="B5" s="44" t="s">
        <v>101</v>
      </c>
      <c r="C5" s="60" t="str">
        <f>TEXT(update_mail1!J4,"0,0")</f>
        <v>0,0</v>
      </c>
      <c r="D5" s="44" t="s">
        <v>97</v>
      </c>
      <c r="E5" s="44" t="s">
        <v>98</v>
      </c>
      <c r="F5" s="44">
        <v>0</v>
      </c>
      <c r="G5" s="44">
        <v>0</v>
      </c>
      <c r="H5">
        <v>0</v>
      </c>
    </row>
    <row r="6" spans="1:8" x14ac:dyDescent="0.3">
      <c r="A6" s="44" t="s">
        <v>96</v>
      </c>
      <c r="B6" s="44" t="s">
        <v>101</v>
      </c>
      <c r="C6" s="60" t="str">
        <f>+TEXT((update_mail1!P4)*10,"0,000")</f>
        <v>0,000</v>
      </c>
      <c r="D6" s="44" t="s">
        <v>100</v>
      </c>
      <c r="E6" s="44" t="s">
        <v>99</v>
      </c>
      <c r="F6" s="44">
        <v>3</v>
      </c>
      <c r="G6" s="44">
        <v>0</v>
      </c>
      <c r="H6">
        <v>1</v>
      </c>
    </row>
    <row r="7" spans="1:8" x14ac:dyDescent="0.3">
      <c r="A7" s="44" t="s">
        <v>96</v>
      </c>
      <c r="B7" s="44" t="s">
        <v>102</v>
      </c>
      <c r="C7" s="60" t="str">
        <f>+TEXT((update_mail1!P3-update_mail1!P5)*100,"0")</f>
        <v>0</v>
      </c>
      <c r="D7" s="44" t="s">
        <v>97</v>
      </c>
      <c r="E7" s="44" t="s">
        <v>98</v>
      </c>
      <c r="F7">
        <v>0</v>
      </c>
      <c r="G7" s="44">
        <v>0</v>
      </c>
      <c r="H7">
        <v>0</v>
      </c>
    </row>
    <row r="8" spans="1:8" x14ac:dyDescent="0.3">
      <c r="A8" s="44" t="s">
        <v>96</v>
      </c>
      <c r="B8" s="44" t="s">
        <v>103</v>
      </c>
      <c r="C8" s="60" t="str">
        <f>+TEXT((update_mail1!P4-update_mail1!P6)*100,"0")</f>
        <v>0</v>
      </c>
      <c r="D8" s="44" t="s">
        <v>97</v>
      </c>
      <c r="E8" s="44" t="s">
        <v>98</v>
      </c>
      <c r="F8">
        <v>0</v>
      </c>
      <c r="G8" s="44">
        <v>0</v>
      </c>
      <c r="H8">
        <v>0</v>
      </c>
    </row>
    <row r="9" spans="1:8" x14ac:dyDescent="0.3">
      <c r="A9" s="44" t="s">
        <v>96</v>
      </c>
      <c r="B9" s="44" t="s">
        <v>104</v>
      </c>
      <c r="C9" s="60" t="str">
        <f>+TEXT((update_mail1!P4-update_mail1!P7)*100,"0")</f>
        <v>0</v>
      </c>
      <c r="D9" s="44" t="s">
        <v>97</v>
      </c>
      <c r="E9" s="44" t="s">
        <v>98</v>
      </c>
      <c r="F9">
        <v>0</v>
      </c>
      <c r="G9" s="44">
        <v>0</v>
      </c>
      <c r="H9">
        <v>0</v>
      </c>
    </row>
    <row r="10" spans="1:8" x14ac:dyDescent="0.3">
      <c r="A10" s="44" t="s">
        <v>96</v>
      </c>
      <c r="B10" s="44" t="s">
        <v>105</v>
      </c>
      <c r="C10" s="60" t="str">
        <f>+TEXT((update_mail1!P4-update_mail1!P9)*100,"0")</f>
        <v>0</v>
      </c>
      <c r="D10" s="44" t="s">
        <v>97</v>
      </c>
      <c r="E10" s="44" t="s">
        <v>98</v>
      </c>
      <c r="F10">
        <v>0</v>
      </c>
      <c r="G10" s="44">
        <v>0</v>
      </c>
      <c r="H10">
        <v>0</v>
      </c>
    </row>
    <row r="11" spans="1:8" x14ac:dyDescent="0.3">
      <c r="A11" s="44" t="s">
        <v>96</v>
      </c>
      <c r="B11" s="44" t="s">
        <v>106</v>
      </c>
      <c r="C11" s="60" t="str">
        <f>+TEXT((update_mail1!P7-update_mail1!P6)*100,"0")</f>
        <v>0</v>
      </c>
      <c r="D11" s="44" t="s">
        <v>97</v>
      </c>
      <c r="E11" s="44" t="s">
        <v>98</v>
      </c>
      <c r="F11">
        <v>0</v>
      </c>
      <c r="G11" s="44">
        <v>0</v>
      </c>
      <c r="H11">
        <v>0</v>
      </c>
    </row>
    <row r="12" spans="1:8" x14ac:dyDescent="0.3">
      <c r="A12" s="44" t="s">
        <v>96</v>
      </c>
      <c r="B12" s="44" t="s">
        <v>107</v>
      </c>
      <c r="C12" s="60" t="str">
        <f>+TEXT((update_mail1!P8-update_mail1!P6)*100,"0")</f>
        <v>0</v>
      </c>
      <c r="D12" s="44" t="s">
        <v>97</v>
      </c>
      <c r="E12" s="44" t="s">
        <v>98</v>
      </c>
      <c r="F12">
        <v>0</v>
      </c>
      <c r="G12" s="44">
        <v>0</v>
      </c>
      <c r="H12">
        <v>0</v>
      </c>
    </row>
    <row r="13" spans="1:8" x14ac:dyDescent="0.3">
      <c r="A13" s="44" t="s">
        <v>96</v>
      </c>
      <c r="B13" s="44" t="s">
        <v>108</v>
      </c>
      <c r="C13" s="61" t="str">
        <f>+TEXT(update_mail1!P12,0)</f>
        <v>0</v>
      </c>
      <c r="D13" s="44" t="s">
        <v>97</v>
      </c>
      <c r="E13" s="44" t="s">
        <v>98</v>
      </c>
      <c r="F13">
        <v>0</v>
      </c>
      <c r="G13" s="44">
        <v>0</v>
      </c>
      <c r="H13">
        <v>0</v>
      </c>
    </row>
    <row r="14" spans="1:8" x14ac:dyDescent="0.3">
      <c r="A14" s="44" t="s">
        <v>151</v>
      </c>
      <c r="B14" s="44" t="s">
        <v>109</v>
      </c>
      <c r="C14" s="60" t="str">
        <f>+TEXT(update_mail1!L13,"0.00")</f>
        <v>000</v>
      </c>
      <c r="D14" t="s">
        <v>142</v>
      </c>
      <c r="E14" t="s">
        <v>99</v>
      </c>
      <c r="F14">
        <v>2</v>
      </c>
      <c r="G14" s="44">
        <v>0</v>
      </c>
      <c r="H14">
        <v>0</v>
      </c>
    </row>
    <row r="15" spans="1:8" s="44" customFormat="1" x14ac:dyDescent="0.3">
      <c r="A15" s="44" t="s">
        <v>151</v>
      </c>
      <c r="B15" s="44" t="s">
        <v>109</v>
      </c>
      <c r="C15" s="61" t="str">
        <f>TEXT(update_mail1!M13*100,"0")</f>
        <v>0</v>
      </c>
      <c r="D15" s="44" t="s">
        <v>152</v>
      </c>
      <c r="E15" s="44" t="s">
        <v>153</v>
      </c>
      <c r="F15" s="44">
        <v>0</v>
      </c>
      <c r="G15" s="44">
        <v>0</v>
      </c>
      <c r="H15" s="44">
        <v>1</v>
      </c>
    </row>
    <row r="16" spans="1:8" x14ac:dyDescent="0.3">
      <c r="A16" s="44" t="s">
        <v>151</v>
      </c>
      <c r="B16" s="44" t="s">
        <v>110</v>
      </c>
      <c r="C16" s="60" t="str">
        <f>+TEXT(update_mail1!L14,"0.00")</f>
        <v>000</v>
      </c>
      <c r="D16" s="44" t="s">
        <v>142</v>
      </c>
      <c r="E16" s="44" t="s">
        <v>99</v>
      </c>
      <c r="F16" s="44">
        <v>2</v>
      </c>
      <c r="G16" s="44">
        <v>0</v>
      </c>
      <c r="H16">
        <v>0</v>
      </c>
    </row>
    <row r="17" spans="1:8" s="44" customFormat="1" x14ac:dyDescent="0.3">
      <c r="A17" s="44" t="s">
        <v>151</v>
      </c>
      <c r="B17" s="44" t="s">
        <v>110</v>
      </c>
      <c r="C17" s="61" t="str">
        <f>TEXT(update_mail1!M14*100,"0")</f>
        <v>0</v>
      </c>
      <c r="D17" s="44" t="s">
        <v>152</v>
      </c>
      <c r="E17" s="44" t="s">
        <v>153</v>
      </c>
      <c r="F17" s="44">
        <v>0</v>
      </c>
      <c r="G17" s="44">
        <v>0</v>
      </c>
      <c r="H17" s="44">
        <v>1</v>
      </c>
    </row>
    <row r="18" spans="1:8" x14ac:dyDescent="0.3">
      <c r="A18" s="44" t="s">
        <v>111</v>
      </c>
      <c r="B18" s="44" t="s">
        <v>118</v>
      </c>
      <c r="C18" s="60" t="str">
        <f>+TEXT((update_mail1!J16)/100,"0.000")</f>
        <v>0.000</v>
      </c>
      <c r="D18" t="s">
        <v>154</v>
      </c>
      <c r="E18" t="s">
        <v>99</v>
      </c>
      <c r="F18" s="44">
        <v>2</v>
      </c>
      <c r="G18" s="44">
        <v>0</v>
      </c>
      <c r="H18">
        <v>0</v>
      </c>
    </row>
    <row r="19" spans="1:8" x14ac:dyDescent="0.3">
      <c r="A19" s="44" t="s">
        <v>111</v>
      </c>
      <c r="B19" s="44" t="s">
        <v>119</v>
      </c>
      <c r="C19" s="60" t="str">
        <f>+TEXT(update_mail1!J17*10,"0,000")</f>
        <v>0,000</v>
      </c>
      <c r="D19" s="44" t="s">
        <v>154</v>
      </c>
      <c r="E19" s="44" t="s">
        <v>99</v>
      </c>
      <c r="F19" s="44">
        <v>2</v>
      </c>
      <c r="G19" s="44">
        <v>0</v>
      </c>
      <c r="H19">
        <v>0</v>
      </c>
    </row>
    <row r="20" spans="1:8" x14ac:dyDescent="0.3">
      <c r="A20" s="44" t="s">
        <v>111</v>
      </c>
      <c r="B20" s="44" t="s">
        <v>120</v>
      </c>
      <c r="C20" s="60" t="str">
        <f>+TEXT(update_mail1!J18*10,"0,000")</f>
        <v>0,000</v>
      </c>
      <c r="D20" s="44" t="s">
        <v>154</v>
      </c>
      <c r="E20" s="44" t="s">
        <v>99</v>
      </c>
      <c r="F20" s="44">
        <v>2</v>
      </c>
      <c r="G20" s="44">
        <v>0</v>
      </c>
      <c r="H20">
        <v>0</v>
      </c>
    </row>
    <row r="21" spans="1:8" x14ac:dyDescent="0.3">
      <c r="A21" s="44" t="s">
        <v>112</v>
      </c>
      <c r="B21" s="44" t="s">
        <v>121</v>
      </c>
      <c r="C21" s="60">
        <f>+update_mail1!J20</f>
        <v>0</v>
      </c>
      <c r="D21" s="44" t="s">
        <v>155</v>
      </c>
      <c r="E21" t="s">
        <v>153</v>
      </c>
      <c r="F21">
        <v>3</v>
      </c>
      <c r="G21" s="44">
        <v>0</v>
      </c>
      <c r="H21">
        <v>0</v>
      </c>
    </row>
    <row r="22" spans="1:8" x14ac:dyDescent="0.3">
      <c r="A22" s="44" t="s">
        <v>112</v>
      </c>
      <c r="B22" s="44" t="s">
        <v>122</v>
      </c>
      <c r="C22" s="60">
        <f>+update_mail1!J21</f>
        <v>0</v>
      </c>
      <c r="D22" s="44" t="s">
        <v>155</v>
      </c>
      <c r="E22" s="44" t="s">
        <v>153</v>
      </c>
      <c r="F22">
        <v>3</v>
      </c>
      <c r="G22" s="44">
        <v>0</v>
      </c>
      <c r="H22">
        <v>0</v>
      </c>
    </row>
    <row r="23" spans="1:8" x14ac:dyDescent="0.3">
      <c r="A23" s="44" t="s">
        <v>112</v>
      </c>
      <c r="B23" s="44" t="s">
        <v>123</v>
      </c>
      <c r="C23" s="60">
        <f>+update_mail1!J22</f>
        <v>0</v>
      </c>
      <c r="D23" s="44" t="s">
        <v>155</v>
      </c>
      <c r="E23" s="44" t="s">
        <v>153</v>
      </c>
      <c r="F23">
        <v>3</v>
      </c>
      <c r="G23" s="44">
        <v>0</v>
      </c>
      <c r="H23">
        <v>0</v>
      </c>
    </row>
    <row r="24" spans="1:8" s="44" customFormat="1" x14ac:dyDescent="0.3">
      <c r="A24" s="44" t="s">
        <v>113</v>
      </c>
      <c r="B24" s="44" t="s">
        <v>114</v>
      </c>
      <c r="C24" s="60" t="str">
        <f>+TEXT(update_mail1!J24/update_mail1!K24-1,"0.00")</f>
        <v>-001</v>
      </c>
      <c r="D24" s="44" t="s">
        <v>142</v>
      </c>
      <c r="E24" s="44" t="s">
        <v>99</v>
      </c>
      <c r="F24" s="44">
        <v>2</v>
      </c>
      <c r="G24" s="44">
        <v>0</v>
      </c>
      <c r="H24" s="44">
        <v>0</v>
      </c>
    </row>
    <row r="25" spans="1:8" x14ac:dyDescent="0.3">
      <c r="A25" t="s">
        <v>113</v>
      </c>
      <c r="B25" s="44" t="s">
        <v>114</v>
      </c>
      <c r="C25" s="60" t="str">
        <f>+TEXT(update_mail1!J24,"0.000")</f>
        <v>0.000</v>
      </c>
      <c r="D25" s="44" t="s">
        <v>155</v>
      </c>
      <c r="E25" s="44" t="s">
        <v>153</v>
      </c>
      <c r="F25">
        <v>3</v>
      </c>
      <c r="G25" s="44">
        <v>0</v>
      </c>
      <c r="H25">
        <v>1</v>
      </c>
    </row>
    <row r="26" spans="1:8" s="44" customFormat="1" x14ac:dyDescent="0.3">
      <c r="A26" s="44" t="s">
        <v>113</v>
      </c>
      <c r="B26" s="44" t="s">
        <v>115</v>
      </c>
      <c r="C26" s="61" t="str">
        <f>+TEXT(update_mail1!J25/update_mail1!K25-1,"0.00")</f>
        <v>-001</v>
      </c>
      <c r="D26" s="44" t="s">
        <v>142</v>
      </c>
      <c r="E26" s="44" t="s">
        <v>99</v>
      </c>
      <c r="F26" s="44">
        <v>2</v>
      </c>
      <c r="G26" s="44">
        <v>0</v>
      </c>
      <c r="H26" s="44">
        <v>0</v>
      </c>
    </row>
    <row r="27" spans="1:8" x14ac:dyDescent="0.3">
      <c r="A27" s="44" t="s">
        <v>113</v>
      </c>
      <c r="B27" s="44" t="s">
        <v>115</v>
      </c>
      <c r="C27" s="60" t="str">
        <f>+TEXT(update_mail1!J25,"0.000")</f>
        <v>0.000</v>
      </c>
      <c r="D27" s="44" t="s">
        <v>155</v>
      </c>
      <c r="E27" s="44" t="s">
        <v>153</v>
      </c>
      <c r="F27">
        <v>3</v>
      </c>
      <c r="G27" s="44">
        <v>0</v>
      </c>
      <c r="H27" s="44">
        <v>1</v>
      </c>
    </row>
    <row r="28" spans="1:8" x14ac:dyDescent="0.3">
      <c r="A28" t="s">
        <v>116</v>
      </c>
      <c r="B28" s="44" t="s">
        <v>124</v>
      </c>
      <c r="C28" s="60" t="str">
        <f>+TEXT(update_mail1!L27,"0.00")</f>
        <v>000</v>
      </c>
      <c r="D28" s="44" t="s">
        <v>142</v>
      </c>
      <c r="E28" s="44" t="s">
        <v>99</v>
      </c>
      <c r="F28">
        <v>2</v>
      </c>
      <c r="G28" s="44">
        <v>0</v>
      </c>
      <c r="H28" s="44">
        <v>0</v>
      </c>
    </row>
    <row r="29" spans="1:8" s="44" customFormat="1" x14ac:dyDescent="0.3">
      <c r="A29" s="44" t="s">
        <v>116</v>
      </c>
      <c r="B29" s="44" t="s">
        <v>124</v>
      </c>
      <c r="C29" s="60" t="str">
        <f>+TEXT(update_mail1!J27,"0.000")</f>
        <v>0.000</v>
      </c>
      <c r="D29" s="44" t="s">
        <v>155</v>
      </c>
      <c r="E29" s="44" t="s">
        <v>153</v>
      </c>
      <c r="F29" s="44">
        <v>3</v>
      </c>
      <c r="G29" s="44">
        <v>0</v>
      </c>
      <c r="H29" s="44">
        <v>1</v>
      </c>
    </row>
    <row r="30" spans="1:8" x14ac:dyDescent="0.3">
      <c r="A30" s="44" t="s">
        <v>116</v>
      </c>
      <c r="B30" s="44" t="s">
        <v>125</v>
      </c>
      <c r="C30" s="60" t="str">
        <f>+TEXT(update_mail1!L28,"0.00")</f>
        <v>000</v>
      </c>
      <c r="D30" s="44" t="s">
        <v>142</v>
      </c>
      <c r="E30" s="44" t="s">
        <v>99</v>
      </c>
      <c r="F30" s="44">
        <v>2</v>
      </c>
      <c r="G30" s="44">
        <v>0</v>
      </c>
      <c r="H30" s="44">
        <v>0</v>
      </c>
    </row>
    <row r="31" spans="1:8" s="44" customFormat="1" x14ac:dyDescent="0.3">
      <c r="A31" s="44" t="s">
        <v>116</v>
      </c>
      <c r="B31" s="44" t="s">
        <v>125</v>
      </c>
      <c r="C31" s="60" t="str">
        <f>+TEXT(update_mail1!J28,"0.000")</f>
        <v>0.000</v>
      </c>
      <c r="D31" s="44" t="s">
        <v>155</v>
      </c>
      <c r="E31" s="44" t="s">
        <v>153</v>
      </c>
      <c r="F31" s="44">
        <v>3</v>
      </c>
      <c r="G31" s="44">
        <v>0</v>
      </c>
      <c r="H31" s="44">
        <v>1</v>
      </c>
    </row>
    <row r="32" spans="1:8" x14ac:dyDescent="0.3">
      <c r="A32" s="44" t="s">
        <v>116</v>
      </c>
      <c r="B32" s="44" t="s">
        <v>126</v>
      </c>
      <c r="C32" s="60" t="str">
        <f>+TEXT(update_mail1!L29,"0.00")</f>
        <v>000</v>
      </c>
      <c r="D32" s="44" t="s">
        <v>142</v>
      </c>
      <c r="E32" s="44" t="s">
        <v>99</v>
      </c>
      <c r="F32" s="44">
        <v>2</v>
      </c>
      <c r="G32" s="44">
        <v>0</v>
      </c>
      <c r="H32" s="44">
        <v>0</v>
      </c>
    </row>
    <row r="33" spans="1:8" s="44" customFormat="1" x14ac:dyDescent="0.3">
      <c r="A33" s="44" t="s">
        <v>116</v>
      </c>
      <c r="B33" s="44" t="s">
        <v>126</v>
      </c>
      <c r="C33" s="60" t="str">
        <f>+TEXT(update_mail1!J29,"0.000")</f>
        <v>0.000</v>
      </c>
      <c r="D33" s="44" t="s">
        <v>155</v>
      </c>
      <c r="E33" s="44" t="s">
        <v>153</v>
      </c>
      <c r="F33" s="44">
        <v>3</v>
      </c>
      <c r="G33" s="44">
        <v>0</v>
      </c>
      <c r="H33" s="44">
        <v>1</v>
      </c>
    </row>
    <row r="34" spans="1:8" x14ac:dyDescent="0.3">
      <c r="A34" s="44" t="s">
        <v>116</v>
      </c>
      <c r="B34" s="44" t="s">
        <v>127</v>
      </c>
      <c r="C34" s="60" t="str">
        <f>+TEXT(update_mail1!L30,"0.00")</f>
        <v>000</v>
      </c>
      <c r="D34" s="44" t="s">
        <v>142</v>
      </c>
      <c r="E34" s="44" t="s">
        <v>99</v>
      </c>
      <c r="F34" s="44">
        <v>2</v>
      </c>
      <c r="G34" s="44">
        <v>0</v>
      </c>
      <c r="H34" s="44">
        <v>0</v>
      </c>
    </row>
    <row r="35" spans="1:8" s="44" customFormat="1" x14ac:dyDescent="0.3">
      <c r="A35" s="44" t="s">
        <v>116</v>
      </c>
      <c r="B35" s="44" t="s">
        <v>127</v>
      </c>
      <c r="C35" s="60" t="str">
        <f>+TEXT(update_mail1!J30,"0.000")</f>
        <v>0.000</v>
      </c>
      <c r="D35" s="44" t="s">
        <v>155</v>
      </c>
      <c r="E35" s="44" t="s">
        <v>153</v>
      </c>
      <c r="F35" s="44">
        <v>3</v>
      </c>
      <c r="G35" s="44">
        <v>0</v>
      </c>
      <c r="H35" s="44">
        <v>1</v>
      </c>
    </row>
    <row r="36" spans="1:8" x14ac:dyDescent="0.3">
      <c r="A36" t="s">
        <v>128</v>
      </c>
      <c r="B36" s="44" t="s">
        <v>129</v>
      </c>
      <c r="C36" s="60" t="str">
        <f>+TEXT(update_mail1!L32,"0.00")</f>
        <v>000</v>
      </c>
      <c r="D36" s="44" t="s">
        <v>142</v>
      </c>
      <c r="E36" s="44" t="s">
        <v>99</v>
      </c>
      <c r="F36" s="44">
        <v>2</v>
      </c>
      <c r="G36" s="44">
        <v>0</v>
      </c>
      <c r="H36" s="44">
        <v>0</v>
      </c>
    </row>
    <row r="37" spans="1:8" s="44" customFormat="1" x14ac:dyDescent="0.3">
      <c r="A37" s="44" t="s">
        <v>128</v>
      </c>
      <c r="B37" s="44" t="s">
        <v>129</v>
      </c>
      <c r="C37" s="60" t="str">
        <f>+TEXT(update_mail1!J32,"0.000")</f>
        <v>0.000</v>
      </c>
      <c r="D37" s="44" t="s">
        <v>141</v>
      </c>
      <c r="E37" s="44" t="s">
        <v>144</v>
      </c>
      <c r="F37" s="44">
        <v>3</v>
      </c>
      <c r="G37" s="44">
        <v>0</v>
      </c>
      <c r="H37" s="44">
        <v>1</v>
      </c>
    </row>
    <row r="38" spans="1:8" x14ac:dyDescent="0.3">
      <c r="A38" s="44" t="s">
        <v>128</v>
      </c>
      <c r="B38" s="44" t="s">
        <v>130</v>
      </c>
      <c r="C38" s="60" t="str">
        <f>+TEXT(update_mail1!L33,"0.00")</f>
        <v>000</v>
      </c>
      <c r="D38" s="44" t="s">
        <v>142</v>
      </c>
      <c r="E38" s="44" t="s">
        <v>99</v>
      </c>
      <c r="F38">
        <v>2</v>
      </c>
      <c r="G38" s="44">
        <v>0</v>
      </c>
      <c r="H38" s="44">
        <v>0</v>
      </c>
    </row>
    <row r="39" spans="1:8" s="44" customFormat="1" x14ac:dyDescent="0.3">
      <c r="A39" s="44" t="s">
        <v>128</v>
      </c>
      <c r="B39" s="44" t="s">
        <v>130</v>
      </c>
      <c r="C39" s="60" t="str">
        <f>+TEXT(update_mail1!J33,"0.000")</f>
        <v>0.000</v>
      </c>
      <c r="D39" s="44" t="s">
        <v>141</v>
      </c>
      <c r="E39" s="44" t="s">
        <v>144</v>
      </c>
      <c r="F39" s="44">
        <v>3</v>
      </c>
      <c r="G39" s="44">
        <v>0</v>
      </c>
      <c r="H39" s="44">
        <v>1</v>
      </c>
    </row>
    <row r="40" spans="1:8" x14ac:dyDescent="0.3">
      <c r="A40" s="44" t="s">
        <v>128</v>
      </c>
      <c r="B40" s="44" t="s">
        <v>131</v>
      </c>
      <c r="C40" s="60" t="str">
        <f>+TEXT(update_mail1!L34,"0.00")</f>
        <v>000</v>
      </c>
      <c r="D40" s="44" t="s">
        <v>142</v>
      </c>
      <c r="E40" s="44" t="s">
        <v>99</v>
      </c>
      <c r="F40" s="44">
        <v>2</v>
      </c>
      <c r="G40" s="44">
        <v>0</v>
      </c>
      <c r="H40" s="44">
        <v>0</v>
      </c>
    </row>
    <row r="41" spans="1:8" s="44" customFormat="1" x14ac:dyDescent="0.3">
      <c r="A41" s="44" t="s">
        <v>128</v>
      </c>
      <c r="B41" s="44" t="s">
        <v>131</v>
      </c>
      <c r="C41" s="60" t="str">
        <f>+TEXT(update_mail1!J34,"0.000")</f>
        <v>0.000</v>
      </c>
      <c r="D41" s="44" t="s">
        <v>141</v>
      </c>
      <c r="E41" s="44" t="s">
        <v>144</v>
      </c>
      <c r="F41" s="44">
        <v>3</v>
      </c>
      <c r="G41" s="44">
        <v>0</v>
      </c>
      <c r="H41" s="44">
        <v>1</v>
      </c>
    </row>
    <row r="42" spans="1:8" x14ac:dyDescent="0.3">
      <c r="A42" s="44" t="s">
        <v>128</v>
      </c>
      <c r="B42" s="44" t="s">
        <v>132</v>
      </c>
      <c r="C42" s="60" t="str">
        <f>+TEXT(update_mail1!L35,"0.00")</f>
        <v>000</v>
      </c>
      <c r="D42" s="44" t="s">
        <v>142</v>
      </c>
      <c r="E42" s="44" t="s">
        <v>99</v>
      </c>
      <c r="F42" s="44">
        <v>2</v>
      </c>
      <c r="G42" s="44">
        <v>0</v>
      </c>
      <c r="H42" s="44">
        <v>0</v>
      </c>
    </row>
    <row r="43" spans="1:8" s="44" customFormat="1" x14ac:dyDescent="0.3">
      <c r="A43" s="44" t="s">
        <v>128</v>
      </c>
      <c r="B43" s="44" t="s">
        <v>132</v>
      </c>
      <c r="C43" s="60" t="str">
        <f>+TEXT(update_mail1!J35,"0.000")</f>
        <v>0.000</v>
      </c>
      <c r="D43" s="44" t="s">
        <v>141</v>
      </c>
      <c r="E43" s="44" t="s">
        <v>144</v>
      </c>
      <c r="F43" s="44">
        <v>3</v>
      </c>
      <c r="G43" s="44">
        <v>0</v>
      </c>
      <c r="H43" s="44">
        <v>1</v>
      </c>
    </row>
    <row r="44" spans="1:8" x14ac:dyDescent="0.3">
      <c r="A44" s="44" t="s">
        <v>128</v>
      </c>
      <c r="B44" s="44" t="s">
        <v>133</v>
      </c>
      <c r="C44" s="60" t="str">
        <f>+TEXT(update_mail1!L36,"0.00")</f>
        <v>000</v>
      </c>
      <c r="D44" s="44" t="s">
        <v>142</v>
      </c>
      <c r="E44" s="44" t="s">
        <v>99</v>
      </c>
      <c r="F44" s="44">
        <v>2</v>
      </c>
      <c r="G44" s="44">
        <v>0</v>
      </c>
      <c r="H44" s="44">
        <v>0</v>
      </c>
    </row>
    <row r="45" spans="1:8" s="44" customFormat="1" x14ac:dyDescent="0.3">
      <c r="A45" s="44" t="s">
        <v>128</v>
      </c>
      <c r="B45" s="44" t="s">
        <v>133</v>
      </c>
      <c r="C45" s="60" t="str">
        <f>+TEXT(update_mail1!J36,"0.000")</f>
        <v>0.000</v>
      </c>
      <c r="D45" s="44" t="s">
        <v>141</v>
      </c>
      <c r="E45" s="44" t="s">
        <v>144</v>
      </c>
      <c r="F45" s="44">
        <v>3</v>
      </c>
      <c r="G45" s="44">
        <v>0</v>
      </c>
      <c r="H45" s="44">
        <v>1</v>
      </c>
    </row>
    <row r="46" spans="1:8" x14ac:dyDescent="0.3">
      <c r="A46" s="44" t="s">
        <v>128</v>
      </c>
      <c r="B46" s="44" t="s">
        <v>134</v>
      </c>
      <c r="C46" s="60" t="str">
        <f>+TEXT(update_mail1!L37,"0.00")</f>
        <v>000</v>
      </c>
      <c r="D46" s="44" t="s">
        <v>142</v>
      </c>
      <c r="E46" s="44" t="s">
        <v>99</v>
      </c>
      <c r="F46" s="44">
        <v>2</v>
      </c>
      <c r="G46" s="44">
        <v>0</v>
      </c>
      <c r="H46" s="44">
        <v>0</v>
      </c>
    </row>
    <row r="47" spans="1:8" s="44" customFormat="1" x14ac:dyDescent="0.3">
      <c r="A47" s="44" t="s">
        <v>128</v>
      </c>
      <c r="B47" s="44" t="s">
        <v>134</v>
      </c>
      <c r="C47" s="60" t="str">
        <f>+TEXT(update_mail1!J37,"0.000")</f>
        <v>0.000</v>
      </c>
      <c r="D47" s="44" t="s">
        <v>141</v>
      </c>
      <c r="E47" s="44" t="s">
        <v>144</v>
      </c>
      <c r="F47" s="44">
        <v>3</v>
      </c>
      <c r="G47" s="44">
        <v>0</v>
      </c>
      <c r="H47" s="44">
        <v>1</v>
      </c>
    </row>
    <row r="48" spans="1:8" x14ac:dyDescent="0.3">
      <c r="A48" s="44" t="s">
        <v>135</v>
      </c>
      <c r="B48" s="44" t="s">
        <v>136</v>
      </c>
      <c r="C48" s="60" t="str">
        <f>+TEXT(update_mail1!L39,"0.00")</f>
        <v>000</v>
      </c>
      <c r="D48" s="44" t="s">
        <v>142</v>
      </c>
      <c r="E48" s="44" t="s">
        <v>99</v>
      </c>
      <c r="F48" s="44">
        <v>2</v>
      </c>
      <c r="G48" s="44">
        <v>0</v>
      </c>
      <c r="H48" s="44">
        <v>0</v>
      </c>
    </row>
    <row r="49" spans="1:8" s="44" customFormat="1" x14ac:dyDescent="0.3">
      <c r="A49" s="44" t="s">
        <v>135</v>
      </c>
      <c r="B49" s="44" t="s">
        <v>136</v>
      </c>
      <c r="C49" s="60" t="str">
        <f>+TEXT(update_mail1!J39,"0.000")</f>
        <v>0.000</v>
      </c>
      <c r="D49" s="44" t="s">
        <v>141</v>
      </c>
      <c r="E49" s="44" t="s">
        <v>144</v>
      </c>
      <c r="F49" s="44">
        <v>3</v>
      </c>
      <c r="G49" s="44">
        <v>0</v>
      </c>
      <c r="H49" s="44">
        <v>1</v>
      </c>
    </row>
    <row r="50" spans="1:8" x14ac:dyDescent="0.3">
      <c r="A50" s="44" t="s">
        <v>135</v>
      </c>
      <c r="B50" s="44" t="s">
        <v>137</v>
      </c>
      <c r="C50" s="60" t="str">
        <f>+TEXT(update_mail1!L40,"0.00")</f>
        <v>000</v>
      </c>
      <c r="D50" s="44" t="s">
        <v>142</v>
      </c>
      <c r="E50" s="44" t="s">
        <v>99</v>
      </c>
      <c r="F50" s="44">
        <v>2</v>
      </c>
      <c r="G50" s="44">
        <v>0</v>
      </c>
      <c r="H50" s="44">
        <v>0</v>
      </c>
    </row>
    <row r="51" spans="1:8" s="44" customFormat="1" x14ac:dyDescent="0.3">
      <c r="A51" s="44" t="s">
        <v>135</v>
      </c>
      <c r="B51" s="44" t="s">
        <v>137</v>
      </c>
      <c r="C51" s="60" t="str">
        <f>+TEXT(update_mail1!J40,"0.000")</f>
        <v>0.000</v>
      </c>
      <c r="D51" s="44" t="s">
        <v>141</v>
      </c>
      <c r="E51" s="44" t="s">
        <v>144</v>
      </c>
      <c r="F51" s="44">
        <v>3</v>
      </c>
      <c r="G51" s="44">
        <v>0</v>
      </c>
      <c r="H51" s="44">
        <v>1</v>
      </c>
    </row>
    <row r="52" spans="1:8" x14ac:dyDescent="0.3">
      <c r="A52" s="44" t="s">
        <v>135</v>
      </c>
      <c r="B52" s="44" t="s">
        <v>138</v>
      </c>
      <c r="C52" s="60" t="str">
        <f>+TEXT(update_mail1!L41,"0.00")</f>
        <v>000</v>
      </c>
      <c r="D52" s="44" t="s">
        <v>142</v>
      </c>
      <c r="E52" s="44" t="s">
        <v>99</v>
      </c>
      <c r="F52" s="44">
        <v>2</v>
      </c>
      <c r="G52" s="44">
        <v>0</v>
      </c>
      <c r="H52" s="44">
        <v>0</v>
      </c>
    </row>
    <row r="53" spans="1:8" s="44" customFormat="1" x14ac:dyDescent="0.3">
      <c r="A53" s="44" t="s">
        <v>135</v>
      </c>
      <c r="B53" s="44" t="s">
        <v>138</v>
      </c>
      <c r="C53" s="60" t="str">
        <f>+TEXT(update_mail1!J41,"0.000")</f>
        <v>0.000</v>
      </c>
      <c r="D53" s="44" t="s">
        <v>141</v>
      </c>
      <c r="E53" s="44" t="s">
        <v>144</v>
      </c>
      <c r="F53" s="44">
        <v>3</v>
      </c>
      <c r="G53" s="44">
        <v>0</v>
      </c>
      <c r="H53" s="44">
        <v>1</v>
      </c>
    </row>
    <row r="54" spans="1:8" x14ac:dyDescent="0.3">
      <c r="A54" t="s">
        <v>150</v>
      </c>
      <c r="B54" s="57" t="s">
        <v>139</v>
      </c>
      <c r="C54" s="60">
        <f>+update_mail1!J44</f>
        <v>12.4</v>
      </c>
      <c r="D54" s="44" t="s">
        <v>141</v>
      </c>
      <c r="E54" t="s">
        <v>144</v>
      </c>
      <c r="F54" s="44">
        <v>3</v>
      </c>
      <c r="G54" s="44">
        <v>0</v>
      </c>
      <c r="H54" s="44">
        <v>0</v>
      </c>
    </row>
    <row r="55" spans="1:8" x14ac:dyDescent="0.3">
      <c r="A55" s="44" t="s">
        <v>150</v>
      </c>
      <c r="B55" s="57" t="s">
        <v>139</v>
      </c>
      <c r="C55" s="60">
        <f>+ROUND(update_mail1!L44,2)</f>
        <v>0.01</v>
      </c>
      <c r="D55" s="44" t="s">
        <v>142</v>
      </c>
      <c r="E55" t="s">
        <v>99</v>
      </c>
      <c r="F55" s="44">
        <v>2</v>
      </c>
      <c r="G55" s="44">
        <v>0</v>
      </c>
      <c r="H55" s="44">
        <v>1</v>
      </c>
    </row>
    <row r="56" spans="1:8" x14ac:dyDescent="0.3">
      <c r="A56" s="44" t="s">
        <v>150</v>
      </c>
      <c r="B56" s="57" t="s">
        <v>139</v>
      </c>
      <c r="C56" s="60" t="str">
        <f>+TEXT(update_mail1!M44,"#.###")</f>
        <v>12.300.000</v>
      </c>
      <c r="D56" s="44" t="s">
        <v>143</v>
      </c>
      <c r="E56" t="s">
        <v>144</v>
      </c>
      <c r="F56" s="44">
        <v>0</v>
      </c>
      <c r="G56" s="44">
        <v>0</v>
      </c>
      <c r="H56">
        <v>2</v>
      </c>
    </row>
    <row r="57" spans="1:8" x14ac:dyDescent="0.3">
      <c r="A57" s="44" t="s">
        <v>150</v>
      </c>
      <c r="B57" s="44" t="s">
        <v>140</v>
      </c>
      <c r="C57" s="60">
        <f>+ROUND(update_mail1!L48,2)</f>
        <v>0.01</v>
      </c>
      <c r="D57" s="44" t="s">
        <v>141</v>
      </c>
      <c r="E57" s="44" t="s">
        <v>144</v>
      </c>
      <c r="F57" s="44">
        <v>3</v>
      </c>
      <c r="G57" s="44">
        <v>0</v>
      </c>
      <c r="H57" s="44">
        <v>0</v>
      </c>
    </row>
    <row r="58" spans="1:8" x14ac:dyDescent="0.3">
      <c r="A58" s="44" t="s">
        <v>150</v>
      </c>
      <c r="B58" s="44" t="s">
        <v>140</v>
      </c>
      <c r="C58" s="60">
        <f>+ROUND(update_mail1!L48,2)</f>
        <v>0.01</v>
      </c>
      <c r="D58" s="44" t="s">
        <v>142</v>
      </c>
      <c r="E58" s="44" t="s">
        <v>99</v>
      </c>
      <c r="F58" s="44">
        <v>2</v>
      </c>
      <c r="G58" s="44">
        <v>0</v>
      </c>
      <c r="H58" s="44">
        <v>1</v>
      </c>
    </row>
    <row r="59" spans="1:8" x14ac:dyDescent="0.3">
      <c r="A59" s="44" t="s">
        <v>150</v>
      </c>
      <c r="B59" s="44" t="s">
        <v>140</v>
      </c>
      <c r="C59" s="60" t="str">
        <f>+TEXT(update_mail1!M48,"#.###")</f>
        <v>12.300.000</v>
      </c>
      <c r="D59" s="44" t="s">
        <v>143</v>
      </c>
      <c r="E59" s="44" t="s">
        <v>144</v>
      </c>
      <c r="F59" s="44">
        <v>0</v>
      </c>
      <c r="G59" s="44">
        <v>0</v>
      </c>
      <c r="H59" s="44">
        <v>2</v>
      </c>
    </row>
    <row r="60" spans="1:8" x14ac:dyDescent="0.3">
      <c r="A60" s="44" t="s">
        <v>150</v>
      </c>
      <c r="B60" s="44" t="s">
        <v>145</v>
      </c>
      <c r="C60" s="60">
        <f>+ROUND(update_mail1!L52,2)</f>
        <v>0.01</v>
      </c>
      <c r="D60" s="44" t="s">
        <v>141</v>
      </c>
      <c r="E60" s="44" t="s">
        <v>144</v>
      </c>
      <c r="F60" s="44">
        <v>3</v>
      </c>
      <c r="G60" s="44">
        <v>0</v>
      </c>
      <c r="H60" s="44">
        <v>0</v>
      </c>
    </row>
    <row r="61" spans="1:8" x14ac:dyDescent="0.3">
      <c r="A61" s="44" t="s">
        <v>150</v>
      </c>
      <c r="B61" s="44" t="s">
        <v>145</v>
      </c>
      <c r="C61" s="60">
        <f>+ROUND(update_mail1!L52,2)</f>
        <v>0.01</v>
      </c>
      <c r="D61" s="44" t="s">
        <v>142</v>
      </c>
      <c r="E61" s="44" t="s">
        <v>99</v>
      </c>
      <c r="F61" s="44">
        <v>2</v>
      </c>
      <c r="G61" s="44">
        <v>0</v>
      </c>
      <c r="H61" s="44">
        <v>1</v>
      </c>
    </row>
    <row r="62" spans="1:8" x14ac:dyDescent="0.3">
      <c r="A62" s="44" t="s">
        <v>150</v>
      </c>
      <c r="B62" s="44" t="s">
        <v>145</v>
      </c>
      <c r="C62" s="60" t="str">
        <f>+TEXT(update_mail1!M52,"#.###")</f>
        <v>12.300.000</v>
      </c>
      <c r="D62" s="44" t="s">
        <v>143</v>
      </c>
      <c r="E62" s="44" t="s">
        <v>144</v>
      </c>
      <c r="F62" s="44">
        <v>0</v>
      </c>
      <c r="G62" s="44">
        <v>0</v>
      </c>
      <c r="H62" s="44">
        <v>2</v>
      </c>
    </row>
    <row r="63" spans="1:8" x14ac:dyDescent="0.3">
      <c r="A63" s="44" t="s">
        <v>150</v>
      </c>
      <c r="B63" s="44" t="s">
        <v>146</v>
      </c>
      <c r="C63" s="60">
        <f>+ROUND(update_mail1!L56,2)</f>
        <v>0.01</v>
      </c>
      <c r="D63" s="44" t="s">
        <v>141</v>
      </c>
      <c r="E63" s="44" t="s">
        <v>144</v>
      </c>
      <c r="F63" s="44">
        <v>3</v>
      </c>
      <c r="G63" s="44">
        <v>0</v>
      </c>
      <c r="H63" s="44">
        <v>0</v>
      </c>
    </row>
    <row r="64" spans="1:8" x14ac:dyDescent="0.3">
      <c r="A64" s="57" t="s">
        <v>150</v>
      </c>
      <c r="B64" s="44" t="s">
        <v>146</v>
      </c>
      <c r="C64" s="60">
        <f>+ROUND(update_mail1!L56,2)</f>
        <v>0.01</v>
      </c>
      <c r="D64" s="44" t="s">
        <v>142</v>
      </c>
      <c r="E64" s="44" t="s">
        <v>99</v>
      </c>
      <c r="F64" s="44">
        <v>2</v>
      </c>
      <c r="G64" s="44">
        <v>0</v>
      </c>
      <c r="H64" s="44">
        <v>1</v>
      </c>
    </row>
    <row r="65" spans="1:8" x14ac:dyDescent="0.3">
      <c r="A65" s="44" t="s">
        <v>150</v>
      </c>
      <c r="B65" s="44" t="s">
        <v>146</v>
      </c>
      <c r="C65" s="60" t="str">
        <f>+TEXT(update_mail1!M56,"#.###")</f>
        <v>12.300.000</v>
      </c>
      <c r="D65" s="44" t="s">
        <v>143</v>
      </c>
      <c r="E65" s="44" t="s">
        <v>144</v>
      </c>
      <c r="F65" s="44">
        <v>0</v>
      </c>
      <c r="G65" s="44">
        <v>0</v>
      </c>
      <c r="H65" s="44">
        <v>2</v>
      </c>
    </row>
    <row r="66" spans="1:8" x14ac:dyDescent="0.3">
      <c r="A66" s="44" t="s">
        <v>150</v>
      </c>
      <c r="B66" s="44" t="s">
        <v>147</v>
      </c>
      <c r="C66" s="60">
        <f>+update_mail1!J60</f>
        <v>12.4</v>
      </c>
      <c r="D66" s="44" t="s">
        <v>141</v>
      </c>
      <c r="E66" s="44" t="s">
        <v>144</v>
      </c>
      <c r="F66" s="44">
        <v>3</v>
      </c>
      <c r="G66" s="44">
        <v>0</v>
      </c>
      <c r="H66" s="44">
        <v>0</v>
      </c>
    </row>
    <row r="67" spans="1:8" x14ac:dyDescent="0.3">
      <c r="A67" s="44" t="s">
        <v>150</v>
      </c>
      <c r="B67" s="44" t="s">
        <v>147</v>
      </c>
      <c r="C67" s="60">
        <f>+ROUND(update_mail1!L60,2)</f>
        <v>0.01</v>
      </c>
      <c r="D67" s="44" t="s">
        <v>142</v>
      </c>
      <c r="E67" s="44" t="s">
        <v>99</v>
      </c>
      <c r="F67" s="44">
        <v>2</v>
      </c>
      <c r="G67" s="44">
        <v>0</v>
      </c>
      <c r="H67" s="44">
        <v>1</v>
      </c>
    </row>
    <row r="68" spans="1:8" x14ac:dyDescent="0.3">
      <c r="A68" s="44" t="s">
        <v>150</v>
      </c>
      <c r="B68" s="44" t="s">
        <v>147</v>
      </c>
      <c r="C68" s="60" t="str">
        <f>+TEXT(update_mail1!M60,"#.###")</f>
        <v>12.300.000</v>
      </c>
      <c r="D68" s="44" t="s">
        <v>143</v>
      </c>
      <c r="E68" s="44" t="s">
        <v>144</v>
      </c>
      <c r="F68" s="44">
        <v>0</v>
      </c>
      <c r="G68" s="44">
        <v>0</v>
      </c>
      <c r="H68" s="44">
        <v>2</v>
      </c>
    </row>
    <row r="69" spans="1:8" x14ac:dyDescent="0.3">
      <c r="A69" s="44" t="s">
        <v>150</v>
      </c>
      <c r="B69" s="44" t="s">
        <v>148</v>
      </c>
      <c r="C69" s="60">
        <f>+update_mail1!J64</f>
        <v>12.4</v>
      </c>
      <c r="D69" s="44" t="s">
        <v>141</v>
      </c>
      <c r="E69" s="44" t="s">
        <v>144</v>
      </c>
      <c r="F69" s="44">
        <v>3</v>
      </c>
      <c r="G69" s="44">
        <v>0</v>
      </c>
      <c r="H69" s="44">
        <v>0</v>
      </c>
    </row>
    <row r="70" spans="1:8" x14ac:dyDescent="0.3">
      <c r="A70" s="44" t="s">
        <v>150</v>
      </c>
      <c r="B70" s="44" t="s">
        <v>148</v>
      </c>
      <c r="C70" s="60">
        <f>+ROUND(update_mail1!L64,2)</f>
        <v>0.01</v>
      </c>
      <c r="D70" s="44" t="s">
        <v>142</v>
      </c>
      <c r="E70" s="44" t="s">
        <v>99</v>
      </c>
      <c r="F70" s="44">
        <v>2</v>
      </c>
      <c r="G70" s="44">
        <v>0</v>
      </c>
      <c r="H70" s="44">
        <v>1</v>
      </c>
    </row>
    <row r="71" spans="1:8" x14ac:dyDescent="0.3">
      <c r="A71" s="44" t="s">
        <v>150</v>
      </c>
      <c r="B71" s="44" t="s">
        <v>148</v>
      </c>
      <c r="C71" s="60" t="str">
        <f>+TEXT(update_mail1!M64,"#.###")</f>
        <v>12.300.000</v>
      </c>
      <c r="D71" s="44" t="s">
        <v>143</v>
      </c>
      <c r="E71" s="44" t="s">
        <v>144</v>
      </c>
      <c r="F71" s="44">
        <v>0</v>
      </c>
      <c r="G71" s="44">
        <v>0</v>
      </c>
      <c r="H71" s="44">
        <v>2</v>
      </c>
    </row>
    <row r="72" spans="1:8" x14ac:dyDescent="0.3">
      <c r="A72" s="44" t="s">
        <v>150</v>
      </c>
      <c r="B72" s="44" t="s">
        <v>149</v>
      </c>
      <c r="C72" s="60">
        <f>+update_mail1!J68</f>
        <v>12.4</v>
      </c>
      <c r="D72" s="44" t="s">
        <v>141</v>
      </c>
      <c r="E72" s="44" t="s">
        <v>144</v>
      </c>
      <c r="F72" s="44">
        <v>3</v>
      </c>
      <c r="G72" s="44">
        <v>0</v>
      </c>
      <c r="H72" s="44">
        <v>0</v>
      </c>
    </row>
    <row r="73" spans="1:8" x14ac:dyDescent="0.3">
      <c r="A73" s="44" t="s">
        <v>150</v>
      </c>
      <c r="B73" s="44" t="s">
        <v>149</v>
      </c>
      <c r="C73" s="60">
        <f>+ROUND(update_mail1!L68,2)</f>
        <v>0.01</v>
      </c>
      <c r="D73" s="44" t="s">
        <v>142</v>
      </c>
      <c r="E73" s="44" t="s">
        <v>99</v>
      </c>
      <c r="F73" s="44">
        <v>2</v>
      </c>
      <c r="G73" s="44">
        <v>0</v>
      </c>
      <c r="H73" s="44">
        <v>1</v>
      </c>
    </row>
    <row r="74" spans="1:8" x14ac:dyDescent="0.3">
      <c r="A74" s="44" t="s">
        <v>150</v>
      </c>
      <c r="B74" s="44" t="s">
        <v>149</v>
      </c>
      <c r="C74" s="60" t="str">
        <f>+TEXT(update_mail1!M68,"#.###")</f>
        <v>12.300.000</v>
      </c>
      <c r="D74" s="44" t="s">
        <v>143</v>
      </c>
      <c r="E74" s="44" t="s">
        <v>144</v>
      </c>
      <c r="F74" s="44">
        <v>0</v>
      </c>
      <c r="G74" s="44">
        <v>0</v>
      </c>
      <c r="H74" s="44">
        <v>2</v>
      </c>
    </row>
    <row r="75" spans="1:8" x14ac:dyDescent="0.3">
      <c r="B75" s="44" t="str">
        <f>+MID(update_mail1!B91,1,11)</f>
        <v/>
      </c>
    </row>
    <row r="76" spans="1:8" x14ac:dyDescent="0.3">
      <c r="B76" s="44" t="str">
        <f>+MID(update_mail1!B92,1,11)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18487-F213-4557-93CA-EF0940284267}">
  <sheetPr codeName="Sheet4"/>
  <dimension ref="A1:T313"/>
  <sheetViews>
    <sheetView showGridLines="0" zoomScale="85" zoomScaleNormal="85" workbookViewId="0">
      <selection activeCell="B22" sqref="B22"/>
    </sheetView>
  </sheetViews>
  <sheetFormatPr defaultRowHeight="14.4" x14ac:dyDescent="0.3"/>
  <cols>
    <col min="1" max="1" width="2.33203125" style="44" customWidth="1"/>
    <col min="2" max="2" width="73.88671875" style="44" customWidth="1"/>
    <col min="3" max="3" width="17.6640625" style="44" customWidth="1"/>
    <col min="4" max="4" width="7.6640625" style="44" customWidth="1"/>
    <col min="5" max="5" width="61.44140625" style="44" customWidth="1"/>
    <col min="6" max="6" width="9.33203125" style="44" customWidth="1"/>
    <col min="7" max="7" width="24.88671875" style="44" customWidth="1"/>
    <col min="8" max="8" width="9.33203125" style="44" customWidth="1"/>
    <col min="9" max="9" width="20.109375" style="44" customWidth="1"/>
    <col min="10" max="10" width="26.109375" style="44" customWidth="1"/>
    <col min="11" max="11" width="18.88671875" style="44" customWidth="1"/>
    <col min="12" max="12" width="20" style="44" customWidth="1"/>
    <col min="13" max="20" width="19.88671875" style="44" customWidth="1"/>
    <col min="21" max="16384" width="8.88671875" style="44"/>
  </cols>
  <sheetData>
    <row r="1" spans="2:20" x14ac:dyDescent="0.3">
      <c r="F1" s="21"/>
    </row>
    <row r="2" spans="2:20" s="3" customFormat="1" ht="25.8" x14ac:dyDescent="0.5">
      <c r="B2" s="1" t="s">
        <v>0</v>
      </c>
      <c r="C2" s="2"/>
      <c r="D2" s="2"/>
      <c r="E2" s="18">
        <f ca="1">+NOW()</f>
        <v>43407.880924884259</v>
      </c>
      <c r="F2" s="21"/>
      <c r="I2" s="44"/>
      <c r="J2" s="19"/>
      <c r="K2" s="44"/>
      <c r="M2" s="19"/>
      <c r="N2" s="44"/>
      <c r="O2" s="19"/>
      <c r="P2" s="19"/>
    </row>
    <row r="3" spans="2:20" x14ac:dyDescent="0.3">
      <c r="F3" s="21"/>
      <c r="I3" s="19"/>
      <c r="J3" s="19"/>
      <c r="L3" s="19"/>
      <c r="M3" s="19"/>
      <c r="O3" s="19"/>
      <c r="P3" s="19"/>
    </row>
    <row r="4" spans="2:20" x14ac:dyDescent="0.3">
      <c r="B4" s="23"/>
      <c r="C4" s="5"/>
      <c r="F4" s="21"/>
      <c r="G4" s="26" t="s">
        <v>8</v>
      </c>
      <c r="I4" s="19"/>
      <c r="J4" s="19"/>
      <c r="L4" s="19"/>
      <c r="M4" s="19"/>
      <c r="O4" s="19"/>
      <c r="P4" s="19"/>
    </row>
    <row r="5" spans="2:20" ht="25.8" x14ac:dyDescent="0.5">
      <c r="B5" s="34" t="str">
        <f>+"&lt;B&gt;&lt;U&gt;"&amp;"Titoli Governativi"&amp;"&lt;/B&gt;&lt;/U&gt;"&amp;"&lt;br&gt;"</f>
        <v>&lt;B&gt;&lt;U&gt;Titoli Governativi&lt;/B&gt;&lt;/U&gt;&lt;br&gt;</v>
      </c>
      <c r="C5" s="5"/>
      <c r="D5" s="5"/>
      <c r="E5" s="1" t="s">
        <v>1</v>
      </c>
      <c r="F5" s="21"/>
      <c r="G5" s="27"/>
      <c r="O5" s="19"/>
      <c r="P5" s="19"/>
    </row>
    <row r="6" spans="2:20" x14ac:dyDescent="0.3">
      <c r="B6" s="48" t="str">
        <f>+"BTP 5Y-ASW sprd@ "&amp;TEXT(J3,"0,0")&amp; " bp - mid yld " &amp; TEXT((P3)*10,"0,000%") &amp; "&lt;br&gt;"</f>
        <v>BTP 5Y-ASW sprd@ 0,0 bp - mid yld 0,000%&lt;br&gt;</v>
      </c>
      <c r="C6" s="5"/>
      <c r="D6" s="6"/>
      <c r="E6" s="20" t="str">
        <f ca="1">+"Area Finance - Market Update - "&amp;TEXT(E2,"gg/mm hh:mm")</f>
        <v>Area Finance - Market Update - 03/11 21:08</v>
      </c>
      <c r="F6" s="21"/>
      <c r="O6" s="19"/>
      <c r="P6" s="19"/>
    </row>
    <row r="7" spans="2:20" x14ac:dyDescent="0.3">
      <c r="B7" s="48" t="str">
        <f>+"BTP 10Y-ASW sprd@ "&amp;TEXT(J4,"0,0")&amp; " bp - mid yld " &amp; TEXT((P4)*10,"0,000%") &amp; "&lt;br&gt;"</f>
        <v>BTP 10Y-ASW sprd@ 0,0 bp - mid yld 0,000%&lt;br&gt;</v>
      </c>
      <c r="C7" s="5"/>
      <c r="D7" s="7"/>
      <c r="E7" s="5"/>
      <c r="F7" s="21"/>
      <c r="G7" s="21"/>
      <c r="H7" s="21"/>
      <c r="J7" s="19"/>
      <c r="K7" s="19"/>
      <c r="L7" s="21"/>
      <c r="M7" s="19"/>
      <c r="N7" s="21"/>
      <c r="O7" s="19"/>
      <c r="P7" s="19"/>
      <c r="Q7" s="21"/>
      <c r="R7" s="21"/>
      <c r="S7" s="21"/>
      <c r="T7" s="21"/>
    </row>
    <row r="8" spans="2:20" ht="25.8" x14ac:dyDescent="0.5">
      <c r="B8" s="48" t="str">
        <f>+"BMK sprd 5Y IT-DE  @ "&amp;TEXT((P3-P5)*100,"0")&amp;" bp "&amp;"&lt;br&gt;"</f>
        <v>BMK sprd 5Y IT-DE  @ 0 bp &lt;br&gt;</v>
      </c>
      <c r="C8" s="5"/>
      <c r="D8" s="6"/>
      <c r="E8" s="1" t="s">
        <v>2</v>
      </c>
      <c r="F8" s="21"/>
      <c r="G8" s="1" t="s">
        <v>7</v>
      </c>
      <c r="H8" s="21"/>
      <c r="O8" s="19"/>
      <c r="P8" s="19"/>
    </row>
    <row r="9" spans="2:20" x14ac:dyDescent="0.3">
      <c r="B9" s="48" t="str">
        <f>+"BMK sprd 10Y IT-DE  @ "&amp;TEXT((P4-P6)*100,"0")&amp;"&lt;br&gt;"</f>
        <v>BMK sprd 10Y IT-DE  @ 0&lt;br&gt;</v>
      </c>
      <c r="C9" s="5"/>
      <c r="D9" s="6"/>
      <c r="E9" s="31" t="s">
        <v>94</v>
      </c>
      <c r="F9" s="21"/>
      <c r="G9" s="43">
        <v>0.4375</v>
      </c>
      <c r="H9" s="21"/>
      <c r="K9" s="21"/>
      <c r="L9" s="21"/>
      <c r="M9" s="21"/>
      <c r="O9" s="19"/>
      <c r="P9" s="19"/>
    </row>
    <row r="10" spans="2:20" x14ac:dyDescent="0.3">
      <c r="B10" s="48" t="str">
        <f>+"BMK sprd 10Y IT-SP  @ "&amp;TEXT((P4-P7)*100,"0")&amp;"&lt;br&gt;"</f>
        <v>BMK sprd 10Y IT-SP  @ 0&lt;br&gt;</v>
      </c>
      <c r="C10" s="5"/>
      <c r="D10" s="6"/>
      <c r="E10" s="31"/>
      <c r="F10" s="21"/>
      <c r="G10" s="43">
        <v>0.52083333333333337</v>
      </c>
      <c r="H10" s="21"/>
      <c r="I10" s="21"/>
      <c r="J10" s="21"/>
      <c r="K10" s="21"/>
      <c r="L10" s="21"/>
      <c r="M10" s="21"/>
    </row>
    <row r="11" spans="2:20" x14ac:dyDescent="0.3">
      <c r="B11" s="48" t="str">
        <f>+"BMK sprd 10Y IT-PO  @ "&amp;TEXT((P4-P9)*100,"0")&amp;"&lt;br&gt;"</f>
        <v>BMK sprd 10Y IT-PO  @ 0&lt;br&gt;</v>
      </c>
      <c r="C11" s="5"/>
      <c r="D11" s="6"/>
      <c r="E11" s="31"/>
      <c r="F11" s="21"/>
      <c r="G11" s="25">
        <v>0.72916666666666663</v>
      </c>
      <c r="H11" s="21"/>
      <c r="I11" s="21"/>
      <c r="J11" s="21"/>
      <c r="K11" s="21"/>
      <c r="L11" s="21"/>
      <c r="M11" s="21"/>
      <c r="P11" s="19"/>
    </row>
    <row r="12" spans="2:20" x14ac:dyDescent="0.3">
      <c r="B12" s="48" t="str">
        <f>+"BMK sprd 10Y SP-DE @ "&amp;TEXT((P7-P6)*100,"0")&amp;" bp"&amp;"&lt;br&gt;"</f>
        <v>BMK sprd 10Y SP-DE @ 0 bp&lt;br&gt;</v>
      </c>
      <c r="C12" s="5"/>
      <c r="D12" s="6"/>
      <c r="E12" s="31"/>
      <c r="F12" s="21"/>
      <c r="G12" s="25"/>
      <c r="H12" s="21"/>
      <c r="I12" s="21"/>
      <c r="J12" s="21"/>
      <c r="K12" s="21"/>
      <c r="L12" s="21"/>
      <c r="M12" s="21"/>
      <c r="O12" s="19"/>
      <c r="P12" s="19"/>
    </row>
    <row r="13" spans="2:20" x14ac:dyDescent="0.3">
      <c r="B13" s="48" t="str">
        <f>+"BMK sprd 10Y FR-DE @ "&amp;TEXT((P8-P6)*100,"0")&amp;" bp"&amp;"&lt;br&gt;"</f>
        <v>BMK sprd 10Y FR-DE @ 0 bp&lt;br&gt;</v>
      </c>
      <c r="C13" s="5" t="s">
        <v>27</v>
      </c>
      <c r="D13" s="6"/>
      <c r="E13" s="31"/>
      <c r="F13" s="21"/>
      <c r="G13" s="25"/>
      <c r="H13" s="21"/>
      <c r="I13" s="19"/>
      <c r="J13" s="19"/>
      <c r="K13" s="19"/>
      <c r="L13" s="54"/>
      <c r="M13" s="19"/>
    </row>
    <row r="14" spans="2:20" ht="20.25" customHeight="1" x14ac:dyDescent="0.3">
      <c r="B14" s="37" t="str">
        <f>+"BMK sprd 10Y BEI-DE    @ "&amp;TEXT(P12,0)&amp;" bp"&amp;"&lt;br&gt;"</f>
        <v>BMK sprd 10Y BEI-DE    @ 0 bp&lt;br&gt;</v>
      </c>
      <c r="C14" s="5"/>
      <c r="D14" s="6"/>
      <c r="E14" s="31"/>
      <c r="G14" s="25"/>
      <c r="I14" s="19"/>
      <c r="J14" s="19"/>
      <c r="K14" s="19"/>
      <c r="L14" s="54"/>
      <c r="M14" s="19"/>
    </row>
    <row r="15" spans="2:20" ht="15.75" customHeight="1" x14ac:dyDescent="0.3">
      <c r="B15" s="48" t="str">
        <f>+"Bund future   "&amp;TEXT(L13,"0.00%")&amp;" ( "&amp;TEXT(M13*100,"0")&amp;" tick)  @ "&amp;J13&amp;"&lt;br&gt;"</f>
        <v>Bund future   000% ( 0 tick)  @ &lt;br&gt;</v>
      </c>
      <c r="C15" s="5"/>
      <c r="D15" s="6"/>
      <c r="E15" s="31"/>
      <c r="G15" s="25"/>
      <c r="J15" s="19"/>
      <c r="K15" s="19"/>
      <c r="L15" s="19"/>
    </row>
    <row r="16" spans="2:20" ht="15" customHeight="1" x14ac:dyDescent="0.3">
      <c r="B16" s="48" t="str">
        <f>+"BTP future   "&amp;TEXT(L14,"0.00%")&amp;" ( "&amp;TEXT(M14*100,"0")&amp;" tick)  @ "&amp;J14&amp;"&lt;br&gt;"</f>
        <v>BTP future   000% ( 0 tick)  @ &lt;br&gt;</v>
      </c>
      <c r="C16" s="5"/>
      <c r="D16" s="6"/>
      <c r="E16" s="15"/>
      <c r="G16" s="25"/>
      <c r="I16" s="19"/>
      <c r="J16" s="19"/>
      <c r="K16" s="19"/>
      <c r="L16" s="19"/>
    </row>
    <row r="17" spans="2:20" x14ac:dyDescent="0.3">
      <c r="B17" s="35" t="str">
        <f>+"&lt;B&gt;&lt;U&gt;"&amp;"Tassi"&amp;"&lt;/B&gt;&lt;/U&gt;"&amp;"&lt;br&gt;"</f>
        <v>&lt;B&gt;&lt;U&gt;Tassi&lt;/B&gt;&lt;/U&gt;&lt;br&gt;</v>
      </c>
      <c r="C17" s="5"/>
      <c r="D17" s="6"/>
      <c r="E17" s="15"/>
      <c r="G17" s="25"/>
      <c r="I17" s="19"/>
      <c r="J17" s="19"/>
      <c r="K17" s="19"/>
      <c r="L17" s="19"/>
    </row>
    <row r="18" spans="2:20" x14ac:dyDescent="0.3">
      <c r="B18" s="48" t="str">
        <f>+"Euribor 6m    "&amp;TEXT((J16)/100,"0.000%")&amp;"&lt;br&gt;"</f>
        <v>Euribor 6m    0.000%&lt;br&gt;</v>
      </c>
      <c r="C18" s="5"/>
      <c r="D18" s="6"/>
      <c r="E18" s="15"/>
      <c r="G18" s="25"/>
      <c r="I18" s="19"/>
      <c r="J18" s="19"/>
      <c r="K18" s="19"/>
      <c r="L18" s="19"/>
    </row>
    <row r="19" spans="2:20" x14ac:dyDescent="0.3">
      <c r="B19" s="48" t="str">
        <f>+"Swap 5Y    "&amp;TEXT(J17*10,"0,000%")&amp;"&lt;br&gt;"</f>
        <v>Swap 5Y    0,000%&lt;br&gt;</v>
      </c>
      <c r="C19" s="5"/>
      <c r="D19" s="6"/>
      <c r="E19" s="15"/>
      <c r="G19" s="25"/>
      <c r="J19" s="19"/>
    </row>
    <row r="20" spans="2:20" x14ac:dyDescent="0.3">
      <c r="B20" s="48" t="str">
        <f>+"Swap 10Y    "&amp;TEXT(J18*10,"0,000%")&amp;"&lt;br&gt;"</f>
        <v>Swap 10Y    0,000%&lt;br&gt;</v>
      </c>
      <c r="C20" s="5"/>
      <c r="D20" s="6"/>
      <c r="E20" s="15"/>
      <c r="G20" s="25"/>
      <c r="I20" s="19"/>
      <c r="J20" s="19"/>
      <c r="K20" s="19"/>
      <c r="L20" s="19"/>
    </row>
    <row r="21" spans="2:20" s="10" customFormat="1" x14ac:dyDescent="0.3">
      <c r="B21" s="35" t="str">
        <f>"&lt;B&gt;&lt;U&gt;"&amp;"Cambi"&amp;"&lt;/B&gt;&lt;/U&gt;"&amp;"&lt;br&gt;"</f>
        <v>&lt;B&gt;&lt;U&gt;Cambi&lt;/B&gt;&lt;/U&gt;&lt;br&gt;</v>
      </c>
      <c r="C21" s="5"/>
      <c r="D21" s="6"/>
      <c r="E21" s="15"/>
      <c r="G21" s="25"/>
      <c r="I21" s="19"/>
      <c r="J21" s="19"/>
      <c r="K21" s="53"/>
      <c r="L21" s="53"/>
    </row>
    <row r="22" spans="2:20" ht="15" customHeight="1" x14ac:dyDescent="0.3">
      <c r="B22" s="48" t="str">
        <f>+"EUR vs USD @  "&amp;J20&amp;"&lt;br&gt;"</f>
        <v>EUR vs USD @  &lt;br&gt;</v>
      </c>
      <c r="C22" s="5"/>
      <c r="D22" s="6"/>
      <c r="E22" s="19"/>
      <c r="G22" s="25"/>
      <c r="I22" s="19"/>
      <c r="J22" s="19"/>
      <c r="K22" s="19"/>
      <c r="L22" s="19"/>
    </row>
    <row r="23" spans="2:20" x14ac:dyDescent="0.3">
      <c r="B23" s="48" t="str">
        <f>+"EUR vs CHF @  "&amp;J21&amp;"&lt;br&gt;"</f>
        <v>EUR vs CHF @  &lt;br&gt;</v>
      </c>
      <c r="C23" s="5"/>
      <c r="D23" s="6"/>
      <c r="E23" s="5"/>
      <c r="G23" s="25"/>
      <c r="K23" s="19"/>
    </row>
    <row r="24" spans="2:20" ht="19.5" customHeight="1" x14ac:dyDescent="0.5">
      <c r="B24" s="48" t="str">
        <f>+"EUR vs GBP @  "&amp;J22&amp;"&lt;br&gt;"</f>
        <v>EUR vs GBP @  &lt;br&gt;</v>
      </c>
      <c r="D24" s="6"/>
      <c r="E24" s="1" t="s">
        <v>3</v>
      </c>
      <c r="G24" s="25"/>
      <c r="I24" s="19"/>
      <c r="J24" s="19"/>
      <c r="K24" s="19">
        <v>1</v>
      </c>
      <c r="L24" s="19"/>
    </row>
    <row r="25" spans="2:20" x14ac:dyDescent="0.3">
      <c r="B25" s="35" t="str">
        <f>+"&lt;B&gt;&lt;U&gt;"&amp;"Commodities"&amp;"&lt;/B&gt;&lt;/U&gt;"&amp;"&lt;br&gt;"</f>
        <v>&lt;B&gt;&lt;U&gt;Commodities&lt;/B&gt;&lt;/U&gt;&lt;br&gt;</v>
      </c>
      <c r="C25" s="5"/>
      <c r="D25" s="6"/>
      <c r="E25" s="31" t="s">
        <v>94</v>
      </c>
      <c r="G25" s="25"/>
      <c r="I25" s="19"/>
      <c r="J25" s="19"/>
      <c r="K25" s="19">
        <v>1</v>
      </c>
      <c r="L25" s="19"/>
    </row>
    <row r="26" spans="2:20" x14ac:dyDescent="0.3">
      <c r="B26" s="48" t="str">
        <f>+"OIL:   "&amp;TEXT(J24/K24-1,"0.00%")&amp;" @ "&amp;TEXT(J24,"0.000")&amp;"&lt;br&gt;"</f>
        <v>OIL:   -100% @ 0.000&lt;br&gt;</v>
      </c>
      <c r="C26" s="5"/>
      <c r="D26" s="6"/>
      <c r="E26" s="31"/>
      <c r="G26" s="25"/>
      <c r="J26" s="19"/>
      <c r="L26" s="19"/>
    </row>
    <row r="27" spans="2:20" x14ac:dyDescent="0.3">
      <c r="B27" s="48" t="str">
        <f>+"GOLD:   "&amp;TEXT(J25/K25-1,"0.00%")&amp;" @ "&amp;TEXT(J25,"0.000")&amp;"&lt;br&gt;"</f>
        <v>GOLD:   -100% @ 0.000&lt;br&gt;</v>
      </c>
      <c r="C27" s="5"/>
      <c r="D27" s="6"/>
      <c r="E27" s="31"/>
      <c r="G27" s="25"/>
      <c r="I27" s="19"/>
      <c r="J27" s="19"/>
      <c r="K27" s="19"/>
      <c r="L27" s="54"/>
    </row>
    <row r="28" spans="2:20" x14ac:dyDescent="0.3">
      <c r="B28" s="35" t="str">
        <f>+"&lt;B&gt;&lt;U&gt;"&amp;"Indici azionari"&amp;"&lt;/B&gt;&lt;/U&gt;"&amp;"&lt;br&gt;"</f>
        <v>&lt;B&gt;&lt;U&gt;Indici azionari&lt;/B&gt;&lt;/U&gt;&lt;br&gt;</v>
      </c>
      <c r="C28" s="5"/>
      <c r="D28" s="9"/>
      <c r="E28" s="31"/>
      <c r="G28" s="25"/>
      <c r="I28" s="19"/>
      <c r="J28" s="19"/>
      <c r="K28" s="19"/>
      <c r="L28" s="54"/>
    </row>
    <row r="29" spans="2:20" ht="25.8" x14ac:dyDescent="0.5">
      <c r="B29" s="45" t="str">
        <f>+"FTSE MIB:  "&amp;TEXT(L27,"0.00%")&amp;" @ "&amp;TEXT(J27,"0.000")&amp;"&lt;br&gt;"</f>
        <v>FTSE MIB:  000% @ 0.000&lt;br&gt;</v>
      </c>
      <c r="C29" s="5"/>
      <c r="D29" s="5"/>
      <c r="E29" s="15"/>
      <c r="G29" s="25"/>
      <c r="I29" s="19"/>
      <c r="J29" s="19"/>
      <c r="K29" s="19"/>
      <c r="L29" s="54"/>
      <c r="Q29" s="1"/>
    </row>
    <row r="30" spans="2:20" x14ac:dyDescent="0.3">
      <c r="B30" s="45" t="str">
        <f>+"SX5E:  "&amp;TEXT(L28,"0.00%")&amp;" @ "&amp;TEXT(J28,"0.000")&amp;"&lt;br&gt;"</f>
        <v>SX5E:  000% @ 0.000&lt;br&gt;</v>
      </c>
      <c r="C30" s="5"/>
      <c r="E30" s="15"/>
      <c r="G30" s="28">
        <v>0.35416666666666669</v>
      </c>
      <c r="H30" s="29" t="s">
        <v>9</v>
      </c>
      <c r="I30" s="19"/>
      <c r="J30" s="19"/>
      <c r="K30" s="19"/>
      <c r="L30" s="54"/>
      <c r="M30" s="29"/>
      <c r="N30" s="29"/>
      <c r="O30" s="29"/>
      <c r="P30" s="29"/>
      <c r="Q30" s="31"/>
      <c r="R30" s="29"/>
      <c r="S30" s="29"/>
      <c r="T30" s="29"/>
    </row>
    <row r="31" spans="2:20" x14ac:dyDescent="0.3">
      <c r="B31" s="45" t="str">
        <f>+"DJ 30:  "&amp;TEXT(L29,"0.00%")&amp;" @ "&amp;TEXT(J29,"0.000")&amp;"&lt;br&gt;"</f>
        <v>DJ 30:  000% @ 0.000&lt;br&gt;</v>
      </c>
      <c r="C31" s="5"/>
      <c r="E31" s="15"/>
      <c r="Q31" s="31"/>
    </row>
    <row r="32" spans="2:20" x14ac:dyDescent="0.3">
      <c r="B32" s="45" t="str">
        <f>+"NIKKEI:  "&amp;TEXT(L30,"0.00%")&amp;" @ "&amp;TEXT(J30,"0.000")&amp;"&lt;br&gt;"</f>
        <v>NIKKEI:  000% @ 0.000&lt;br&gt;</v>
      </c>
      <c r="C32" s="5"/>
      <c r="E32" s="15"/>
      <c r="I32" s="55"/>
      <c r="J32" s="19"/>
      <c r="K32" s="19"/>
      <c r="L32" s="54"/>
      <c r="Q32" s="31"/>
    </row>
    <row r="33" spans="1:20" x14ac:dyDescent="0.3">
      <c r="B33" s="35" t="str">
        <f>+"&lt;B&gt;&lt;U&gt;"&amp;"Titoli azionari italiani"&amp;"&lt;/B&gt;&lt;/U&gt;"&amp;"&lt;br&gt;"</f>
        <v>&lt;B&gt;&lt;U&gt;Titoli azionari italiani&lt;/B&gt;&lt;/U&gt;&lt;br&gt;</v>
      </c>
      <c r="C33" s="5"/>
      <c r="D33" s="5"/>
      <c r="E33" s="15"/>
      <c r="I33" s="55"/>
      <c r="J33" s="19"/>
      <c r="K33" s="19"/>
      <c r="L33" s="54"/>
      <c r="Q33" s="31"/>
    </row>
    <row r="34" spans="1:20" s="10" customFormat="1" x14ac:dyDescent="0.3">
      <c r="A34" s="10">
        <v>4</v>
      </c>
      <c r="B34" s="48" t="str">
        <f>+"ISP:          "&amp;TEXT(L32,"0.00%")&amp;" @ "&amp;TEXT(J32,"0.000")&amp;"&lt;br&gt;"</f>
        <v>ISP:          000% @ 0.000&lt;br&gt;</v>
      </c>
      <c r="C34" s="5"/>
      <c r="D34" s="11"/>
      <c r="E34" s="15"/>
      <c r="G34" s="44"/>
      <c r="I34" s="55"/>
      <c r="J34" s="19"/>
      <c r="K34" s="19"/>
      <c r="L34" s="54"/>
      <c r="Q34" s="31"/>
    </row>
    <row r="35" spans="1:20" x14ac:dyDescent="0.3">
      <c r="B35" s="48" t="str">
        <f>+"UCG:          "&amp;TEXT(L33,"0.00%")&amp;" @ "&amp;TEXT(J33,"0.000")&amp;"&lt;br&gt;"</f>
        <v>UCG:          000% @ 0.000&lt;br&gt;</v>
      </c>
      <c r="C35" s="5"/>
      <c r="D35" s="11"/>
      <c r="E35" s="15"/>
      <c r="F35" s="10"/>
      <c r="H35" s="10"/>
      <c r="I35" s="55"/>
      <c r="J35" s="19"/>
      <c r="K35" s="19"/>
      <c r="L35" s="54"/>
      <c r="M35" s="10"/>
      <c r="N35" s="10"/>
      <c r="O35" s="10"/>
      <c r="P35" s="10"/>
      <c r="Q35" s="31"/>
      <c r="R35" s="10"/>
      <c r="S35" s="10"/>
      <c r="T35" s="10"/>
    </row>
    <row r="36" spans="1:20" x14ac:dyDescent="0.3">
      <c r="B36" s="48" t="str">
        <f>+"UBI:          "&amp;TEXT(L34,"0.00%")&amp;" @ "&amp;TEXT(J34,"0.000")&amp;"&lt;br&gt;"</f>
        <v>UBI:          000% @ 0.000&lt;br&gt;</v>
      </c>
      <c r="C36" s="5"/>
      <c r="D36" s="5"/>
      <c r="E36" s="15"/>
      <c r="I36" s="55"/>
      <c r="J36" s="19"/>
      <c r="K36" s="19"/>
      <c r="L36" s="54"/>
      <c r="Q36" s="31"/>
    </row>
    <row r="37" spans="1:20" x14ac:dyDescent="0.3">
      <c r="B37" s="48" t="str">
        <f>+"Generali:          "&amp;TEXT(L35,"0.00%")&amp;" @ "&amp;TEXT(J35,"0.000")&amp;"&lt;br&gt;"</f>
        <v>Generali:          000% @ 0.000&lt;br&gt;</v>
      </c>
      <c r="C37" s="5"/>
      <c r="E37" s="15"/>
      <c r="I37" s="55"/>
      <c r="J37" s="19"/>
      <c r="K37" s="19"/>
      <c r="L37" s="54"/>
      <c r="Q37" s="15"/>
    </row>
    <row r="38" spans="1:20" x14ac:dyDescent="0.3">
      <c r="B38" s="48" t="str">
        <f>+"Unipol:          "&amp;TEXT(L36,"0.00%")&amp;" @ "&amp;TEXT(J36,"0.000")&amp;"&lt;br&gt;"</f>
        <v>Unipol:          000% @ 0.000&lt;br&gt;</v>
      </c>
      <c r="C38" s="5"/>
      <c r="D38" s="4"/>
      <c r="E38" s="15"/>
      <c r="Q38" s="15"/>
    </row>
    <row r="39" spans="1:20" x14ac:dyDescent="0.3">
      <c r="B39" s="48" t="str">
        <f>+"Telecom:          "&amp;TEXT(L37,"0.00%")&amp;" @ "&amp;TEXT(J37,"0.000")&amp;"&lt;br&gt;"</f>
        <v>Telecom:          000% @ 0.000&lt;br&gt;</v>
      </c>
      <c r="C39" s="5"/>
      <c r="D39" s="8"/>
      <c r="E39" s="19"/>
      <c r="I39" s="55"/>
      <c r="J39" s="19"/>
      <c r="K39" s="19"/>
      <c r="L39" s="54"/>
      <c r="Q39" s="15"/>
    </row>
    <row r="40" spans="1:20" x14ac:dyDescent="0.3">
      <c r="B40" s="35" t="str">
        <f>+"&lt;B&gt;&lt;U&gt;"&amp;"Titoli azionari europei"&amp;"&lt;/B&gt;&lt;/U&gt;"&amp;"&lt;br&gt;"</f>
        <v>&lt;B&gt;&lt;U&gt;Titoli azionari europei&lt;/B&gt;&lt;/U&gt;&lt;br&gt;</v>
      </c>
      <c r="C40" s="5"/>
      <c r="E40" s="5"/>
      <c r="I40" s="55"/>
      <c r="J40" s="19"/>
      <c r="K40" s="19"/>
      <c r="L40" s="54"/>
      <c r="Q40" s="15"/>
    </row>
    <row r="41" spans="1:20" ht="16.5" customHeight="1" x14ac:dyDescent="0.5">
      <c r="B41" s="48" t="str">
        <f>+"SocGen:          "&amp;TEXT(L39,"0.00%")&amp;" @ "&amp;TEXT(J39,"0.000")&amp;"&lt;br&gt;"</f>
        <v>SocGen:          000% @ 0.000&lt;br&gt;</v>
      </c>
      <c r="C41" s="5"/>
      <c r="D41" s="5"/>
      <c r="E41" s="1" t="s">
        <v>4</v>
      </c>
      <c r="I41" s="55"/>
      <c r="J41" s="19"/>
      <c r="K41" s="19"/>
      <c r="L41" s="54"/>
      <c r="Q41" s="15"/>
    </row>
    <row r="42" spans="1:20" x14ac:dyDescent="0.3">
      <c r="B42" s="48" t="str">
        <f>+"Bnp:          "&amp;TEXT(L40,"0.00%")&amp;" @ "&amp;TEXT(J40,"0.000")&amp;"&lt;br&gt;"</f>
        <v>Bnp:          000% @ 0.000&lt;br&gt;</v>
      </c>
      <c r="C42" s="5"/>
      <c r="D42" s="5"/>
      <c r="E42" s="31" t="s">
        <v>94</v>
      </c>
      <c r="Q42" s="15"/>
    </row>
    <row r="43" spans="1:20" x14ac:dyDescent="0.3">
      <c r="B43" s="48" t="str">
        <f>+"Deutsche:          "&amp;TEXT(L41,"0.00%")&amp;" @ "&amp;TEXT(J41,"0.000")&amp;"&lt;br&gt;"</f>
        <v>Deutsche:          000% @ 0.000&lt;br&gt;</v>
      </c>
      <c r="C43" s="5"/>
      <c r="E43" s="31"/>
      <c r="F43" s="10"/>
      <c r="H43" s="10"/>
      <c r="I43" s="10"/>
      <c r="J43" s="10"/>
      <c r="K43" s="10"/>
      <c r="L43" s="19"/>
      <c r="M43" s="19"/>
      <c r="N43" s="10"/>
      <c r="O43" s="10"/>
      <c r="P43" s="10"/>
      <c r="Q43" s="19"/>
      <c r="R43" s="10"/>
      <c r="S43" s="10"/>
      <c r="T43" s="10"/>
    </row>
    <row r="44" spans="1:20" x14ac:dyDescent="0.3">
      <c r="B44" s="35" t="str">
        <f>+"&lt;B&gt;&lt;U&gt;"&amp;"Partecipazioni quotate gruppo CDP"&amp;"&lt;/B&gt;&lt;/U&gt;"&amp;"&lt;br&gt;"</f>
        <v>&lt;B&gt;&lt;U&gt;Partecipazioni quotate gruppo CDP&lt;/B&gt;&lt;/U&gt;&lt;br&gt;</v>
      </c>
      <c r="D44" s="5"/>
      <c r="E44" s="31"/>
      <c r="F44" s="12"/>
      <c r="H44" s="12"/>
      <c r="I44" s="55"/>
      <c r="J44" s="19">
        <v>12.4</v>
      </c>
      <c r="K44" s="19"/>
      <c r="L44" s="58">
        <v>0.01</v>
      </c>
      <c r="M44" s="56">
        <v>12300000</v>
      </c>
      <c r="N44" s="12"/>
      <c r="O44" s="12"/>
      <c r="P44" s="12"/>
      <c r="Q44" s="5"/>
      <c r="R44" s="12"/>
      <c r="S44" s="12"/>
      <c r="T44" s="12"/>
    </row>
    <row r="45" spans="1:20" ht="25.8" x14ac:dyDescent="0.5">
      <c r="B45" s="41" t="str">
        <f>+"&lt;B&gt;"&amp;"ENI"&amp;"&lt;/B&gt;"&amp;"&lt;br&gt;"</f>
        <v>&lt;B&gt;ENI&lt;/B&gt;&lt;br&gt;</v>
      </c>
      <c r="C45" s="5"/>
      <c r="D45" s="5"/>
      <c r="E45" s="31"/>
      <c r="F45" s="52"/>
      <c r="H45" s="52"/>
      <c r="I45" s="52"/>
      <c r="J45" s="52"/>
      <c r="K45" s="52"/>
      <c r="L45" s="52"/>
      <c r="M45" s="52"/>
      <c r="N45" s="52"/>
      <c r="O45" s="52"/>
      <c r="P45" s="52"/>
      <c r="Q45" s="1"/>
      <c r="R45" s="52"/>
      <c r="S45" s="52"/>
      <c r="T45" s="52"/>
    </row>
    <row r="46" spans="1:20" x14ac:dyDescent="0.3">
      <c r="B46" s="45" t="str">
        <f>+CONCATENATE("Prezzo corrente @"," ",J44)&amp;"&lt;br&gt;"</f>
        <v>Prezzo corrente @ 12,4&lt;br&gt;</v>
      </c>
      <c r="C46" s="5"/>
      <c r="D46" s="5"/>
      <c r="E46" s="31"/>
      <c r="Q46" s="31"/>
    </row>
    <row r="47" spans="1:20" x14ac:dyDescent="0.3">
      <c r="B47" s="48" t="str">
        <f>+CONCATENATE("Pct Change @ "," ",ROUND(L44,2),"%")&amp;"&lt;br&gt;"</f>
        <v>Pct Change @  0,01%&lt;br&gt;</v>
      </c>
      <c r="C47" s="5"/>
      <c r="E47" s="31"/>
      <c r="Q47" s="31"/>
    </row>
    <row r="48" spans="1:20" x14ac:dyDescent="0.3">
      <c r="B48" s="48" t="str">
        <f>+CONCATENATE("Volume scambiato @"," ",TEXT(M44,"#.###"))&amp;"&lt;br&gt;"</f>
        <v>Volume scambiato @ 12.300.000&lt;br&gt;</v>
      </c>
      <c r="C48" s="5"/>
      <c r="E48" s="31"/>
      <c r="I48" s="55"/>
      <c r="J48" s="19">
        <v>12.4</v>
      </c>
      <c r="K48" s="19"/>
      <c r="L48" s="58">
        <v>0.01</v>
      </c>
      <c r="M48" s="56">
        <v>12300000</v>
      </c>
      <c r="Q48" s="31"/>
    </row>
    <row r="49" spans="2:17" x14ac:dyDescent="0.3">
      <c r="B49" s="41" t="str">
        <f>+"&lt;B&gt;"&amp;"Snam "&amp;"&lt;/B&gt;"&amp;"&lt;br&gt;"</f>
        <v>&lt;B&gt;Snam &lt;/B&gt;&lt;br&gt;</v>
      </c>
      <c r="C49" s="5"/>
      <c r="E49" s="31"/>
      <c r="Q49" s="31"/>
    </row>
    <row r="50" spans="2:17" x14ac:dyDescent="0.3">
      <c r="B50" s="45" t="str">
        <f>+CONCATENATE("Prezzo corrente @"," ",J48)&amp;"&lt;br&gt;"</f>
        <v>Prezzo corrente @ 12,4&lt;br&gt;</v>
      </c>
      <c r="C50" s="5"/>
      <c r="E50" s="15"/>
      <c r="Q50" s="31"/>
    </row>
    <row r="51" spans="2:17" x14ac:dyDescent="0.3">
      <c r="B51" s="48" t="str">
        <f>+CONCATENATE("Pct Change @ "," ",ROUND(L48,2),"%")&amp;"&lt;br&gt;"</f>
        <v>Pct Change @  0,01%&lt;br&gt;</v>
      </c>
      <c r="C51" s="5"/>
      <c r="E51" s="15"/>
      <c r="Q51" s="15"/>
    </row>
    <row r="52" spans="2:17" x14ac:dyDescent="0.3">
      <c r="B52" s="48" t="str">
        <f>+CONCATENATE("Volume scambiato @"," ",TEXT(M48,"#.###"))&amp;"&lt;br&gt;"</f>
        <v>Volume scambiato @ 12.300.000&lt;br&gt;</v>
      </c>
      <c r="C52" s="5"/>
      <c r="E52" s="15"/>
      <c r="I52" s="55"/>
      <c r="J52" s="19">
        <v>12.4</v>
      </c>
      <c r="K52" s="19"/>
      <c r="L52" s="58">
        <v>0.01</v>
      </c>
      <c r="M52" s="56">
        <v>12300000</v>
      </c>
      <c r="Q52" s="15"/>
    </row>
    <row r="53" spans="2:17" x14ac:dyDescent="0.3">
      <c r="B53" s="41" t="str">
        <f>+"&lt;B&gt;"&amp;"Saipem "&amp;"&lt;/B&gt;"&amp;"&lt;br&gt;"</f>
        <v>&lt;B&gt;Saipem &lt;/B&gt;&lt;br&gt;</v>
      </c>
      <c r="C53" s="5"/>
      <c r="E53" s="15"/>
      <c r="Q53" s="15"/>
    </row>
    <row r="54" spans="2:17" x14ac:dyDescent="0.3">
      <c r="B54" s="45" t="str">
        <f>+CONCATENATE("Prezzo corrente @"," ",J52)&amp;"&lt;br&gt;"</f>
        <v>Prezzo corrente @ 12,4&lt;br&gt;</v>
      </c>
      <c r="C54" s="5"/>
      <c r="E54" s="15"/>
      <c r="Q54" s="15"/>
    </row>
    <row r="55" spans="2:17" x14ac:dyDescent="0.3">
      <c r="B55" s="48" t="str">
        <f>+CONCATENATE("Pct Change @ "," ",ROUND(L52,2),"%")&amp;"&lt;br&gt;"</f>
        <v>Pct Change @  0,01%&lt;br&gt;</v>
      </c>
      <c r="C55" s="5"/>
      <c r="E55" s="15"/>
      <c r="Q55" s="15"/>
    </row>
    <row r="56" spans="2:17" ht="15.75" customHeight="1" x14ac:dyDescent="0.3">
      <c r="B56" s="48" t="str">
        <f>+CONCATENATE("Volume scambiato @"," ",TEXT(M52,"#.###"))&amp;"&lt;br&gt;"</f>
        <v>Volume scambiato @ 12.300.000&lt;br&gt;</v>
      </c>
      <c r="E56" s="19"/>
      <c r="I56" s="55"/>
      <c r="J56" s="19">
        <v>12.4</v>
      </c>
      <c r="K56" s="19"/>
      <c r="L56" s="58">
        <v>0.01</v>
      </c>
      <c r="M56" s="56">
        <v>12300000</v>
      </c>
      <c r="Q56" s="15"/>
    </row>
    <row r="57" spans="2:17" x14ac:dyDescent="0.3">
      <c r="B57" s="41" t="str">
        <f>+"&lt;B&gt;"&amp;"Terna"&amp;"&lt;/B&gt;"&amp;"&lt;br&gt;"</f>
        <v>&lt;B&gt;Terna&lt;/B&gt;&lt;br&gt;</v>
      </c>
      <c r="C57" s="5"/>
      <c r="Q57" s="15"/>
    </row>
    <row r="58" spans="2:17" x14ac:dyDescent="0.3">
      <c r="B58" s="45" t="str">
        <f>+CONCATENATE("Prezzo corrente @"," ",J56)&amp;"&lt;br&gt;"</f>
        <v>Prezzo corrente @ 12,4&lt;br&gt;</v>
      </c>
      <c r="C58" s="5"/>
      <c r="E58" s="44">
        <v>4</v>
      </c>
      <c r="Q58" s="15"/>
    </row>
    <row r="59" spans="2:17" x14ac:dyDescent="0.3">
      <c r="B59" s="48" t="str">
        <f>+CONCATENATE("Pct Change @ "," ",ROUND(L56,2),"%")&amp;"&lt;br&gt;"</f>
        <v>Pct Change @  0,01%&lt;br&gt;</v>
      </c>
      <c r="C59" s="5"/>
      <c r="Q59" s="15"/>
    </row>
    <row r="60" spans="2:17" x14ac:dyDescent="0.3">
      <c r="B60" s="48" t="str">
        <f>+CONCATENATE("Volume scambiato @"," ",TEXT(M56,"#.###"))&amp;"&lt;br&gt;"</f>
        <v>Volume scambiato @ 12.300.000&lt;br&gt;</v>
      </c>
      <c r="C60" s="5"/>
      <c r="I60" s="55"/>
      <c r="J60" s="19">
        <v>12.4</v>
      </c>
      <c r="K60" s="19"/>
      <c r="L60" s="58">
        <v>0.01</v>
      </c>
      <c r="M60" s="56">
        <v>12300000</v>
      </c>
      <c r="Q60" s="19"/>
    </row>
    <row r="61" spans="2:17" x14ac:dyDescent="0.3">
      <c r="B61" s="41" t="str">
        <f>+"&lt;B&gt;"&amp;"Fincantieri"&amp;"&lt;/B&gt;"&amp;"&lt;br&gt;"</f>
        <v>&lt;B&gt;Fincantieri&lt;/B&gt;&lt;br&gt;</v>
      </c>
      <c r="C61" s="5"/>
      <c r="Q61" s="5"/>
    </row>
    <row r="62" spans="2:17" ht="25.8" x14ac:dyDescent="0.5">
      <c r="B62" s="45" t="str">
        <f>+CONCATENATE("Prezzo corrente @"," ",J60)&amp;"&lt;br&gt;"</f>
        <v>Prezzo corrente @ 12,4&lt;br&gt;</v>
      </c>
      <c r="C62" s="5"/>
      <c r="Q62" s="1"/>
    </row>
    <row r="63" spans="2:17" x14ac:dyDescent="0.3">
      <c r="B63" s="48" t="str">
        <f>+CONCATENATE("Pct Change @ "," ",ROUND(L60,2),"%")&amp;"&lt;br&gt;"</f>
        <v>Pct Change @  0,01%&lt;br&gt;</v>
      </c>
      <c r="C63" s="5"/>
      <c r="Q63" s="31"/>
    </row>
    <row r="64" spans="2:17" x14ac:dyDescent="0.3">
      <c r="B64" s="48" t="str">
        <f>+CONCATENATE("Volume scambiato @"," ",TEXT(M60,"#.###"))&amp;"&lt;br&gt;"</f>
        <v>Volume scambiato @ 12.300.000&lt;br&gt;</v>
      </c>
      <c r="C64" s="5"/>
      <c r="I64" s="55"/>
      <c r="J64" s="19">
        <v>12.4</v>
      </c>
      <c r="K64" s="19"/>
      <c r="L64" s="58">
        <v>0.01</v>
      </c>
      <c r="M64" s="56">
        <v>12300000</v>
      </c>
      <c r="Q64" s="31"/>
    </row>
    <row r="65" spans="2:17" x14ac:dyDescent="0.3">
      <c r="B65" s="41" t="str">
        <f>+"&lt;B&gt;"&amp;"Italgas"&amp;"&lt;/B&gt;"&amp;"&lt;br&gt;"</f>
        <v>&lt;B&gt;Italgas&lt;/B&gt;&lt;br&gt;</v>
      </c>
      <c r="C65" s="5"/>
      <c r="Q65" s="31"/>
    </row>
    <row r="66" spans="2:17" x14ac:dyDescent="0.3">
      <c r="B66" s="45" t="str">
        <f>+CONCATENATE("Prezzo corrente @"," ",J64)&amp;"&lt;br&gt;"</f>
        <v>Prezzo corrente @ 12,4&lt;br&gt;</v>
      </c>
      <c r="C66" s="5"/>
      <c r="Q66" s="31"/>
    </row>
    <row r="67" spans="2:17" x14ac:dyDescent="0.3">
      <c r="B67" s="48" t="str">
        <f>+CONCATENATE("Pct Change @ "," ",ROUND(L64,2),"%")&amp;"&lt;br&gt;"</f>
        <v>Pct Change @  0,01%&lt;br&gt;</v>
      </c>
      <c r="C67" s="5"/>
      <c r="Q67" s="31"/>
    </row>
    <row r="68" spans="2:17" x14ac:dyDescent="0.3">
      <c r="B68" s="48" t="str">
        <f>+CONCATENATE("Volume scambiato @"," ",TEXT(M64,"#.###"))&amp;"&lt;br&gt;"</f>
        <v>Volume scambiato @ 12.300.000&lt;br&gt;</v>
      </c>
      <c r="C68" s="5"/>
      <c r="I68" s="55"/>
      <c r="J68" s="19">
        <v>12.4</v>
      </c>
      <c r="K68" s="19"/>
      <c r="L68" s="58">
        <v>0.01</v>
      </c>
      <c r="M68" s="56">
        <v>12300000</v>
      </c>
      <c r="Q68" s="31"/>
    </row>
    <row r="69" spans="2:17" x14ac:dyDescent="0.3">
      <c r="B69" s="41" t="str">
        <f>+"&lt;B&gt;"&amp;"Poste Italiane"&amp;"&lt;/B&gt;"&amp;"&lt;br&gt;"</f>
        <v>&lt;B&gt;Poste Italiane&lt;/B&gt;&lt;br&gt;</v>
      </c>
      <c r="C69" s="51"/>
      <c r="Q69" s="31"/>
    </row>
    <row r="70" spans="2:17" x14ac:dyDescent="0.3">
      <c r="B70" s="45" t="str">
        <f>+CONCATENATE("Prezzo corrente @"," ",J68)&amp;"&lt;br&gt;"</f>
        <v>Prezzo corrente @ 12,4&lt;br&gt;</v>
      </c>
      <c r="C70" s="5"/>
      <c r="Q70" s="15"/>
    </row>
    <row r="71" spans="2:17" x14ac:dyDescent="0.3">
      <c r="B71" s="48" t="str">
        <f>+CONCATENATE("Pct Change @ "," ",ROUND(L68,2),"%")&amp;"&lt;br&gt;"</f>
        <v>Pct Change @  0,01%&lt;br&gt;</v>
      </c>
      <c r="C71" s="5"/>
      <c r="Q71" s="15"/>
    </row>
    <row r="72" spans="2:17" x14ac:dyDescent="0.3">
      <c r="B72" s="48" t="str">
        <f>+CONCATENATE("Volume scambiato @"," ",TEXT(M68,"#.###"))&amp;"&lt;br&gt;"</f>
        <v>Volume scambiato @ 12.300.000&lt;br&gt;</v>
      </c>
      <c r="C72" s="5"/>
      <c r="I72" s="55"/>
      <c r="J72" s="19"/>
      <c r="K72" s="19"/>
      <c r="L72" s="19"/>
      <c r="M72" s="56">
        <v>12300000</v>
      </c>
      <c r="Q72" s="15"/>
    </row>
    <row r="73" spans="2:17" x14ac:dyDescent="0.3">
      <c r="B73" s="41" t="str">
        <f>+"&lt;B&gt;"&amp;"Telecom Italia"&amp;"&lt;/B&gt;"&amp;"&lt;br&gt;"</f>
        <v>&lt;B&gt;Telecom Italia&lt;/B&gt;&lt;br&gt;</v>
      </c>
      <c r="C73" s="5"/>
      <c r="Q73" s="15"/>
    </row>
    <row r="74" spans="2:17" x14ac:dyDescent="0.3">
      <c r="B74" s="45" t="str">
        <f>+CONCATENATE("Prezzo corrente @"," ",J72)&amp;"&lt;br&gt;"</f>
        <v>Prezzo corrente @ &lt;br&gt;</v>
      </c>
      <c r="C74" s="5"/>
      <c r="Q74" s="15"/>
    </row>
    <row r="75" spans="2:17" x14ac:dyDescent="0.3">
      <c r="B75" s="59" t="str">
        <f>+CONCATENATE("Pct Change @ "," ",ROUND(L72,2),"%")&amp;"&lt;br&gt;"</f>
        <v>Pct Change @  0%&lt;br&gt;</v>
      </c>
      <c r="C75" s="5"/>
      <c r="Q75" s="15"/>
    </row>
    <row r="76" spans="2:17" x14ac:dyDescent="0.3">
      <c r="B76" s="48" t="str">
        <f>+CONCATENATE("Volume scambiato @"," ",TEXT(M72,"#.###"))&amp;"&lt;br&gt;"</f>
        <v>Volume scambiato @ 12.300.000&lt;br&gt;</v>
      </c>
      <c r="C76" s="42" t="s">
        <v>24</v>
      </c>
      <c r="Q76" s="15"/>
    </row>
    <row r="77" spans="2:17" ht="30" customHeight="1" x14ac:dyDescent="0.3">
      <c r="B77" s="38" t="s">
        <v>15</v>
      </c>
      <c r="C77" s="5"/>
      <c r="Q77" s="15"/>
    </row>
    <row r="78" spans="2:17" x14ac:dyDescent="0.3">
      <c r="B78" s="40" t="str">
        <f>+"&lt;B&gt;&lt;U&gt;"&amp;"In calce l'ultimo aggiornamento  al "&amp;TEXT(COPYDATAORA,"gg/mm/aa h:m")&amp;"&lt;/B&gt;&lt;/u&gt;&lt;br&gt;"</f>
        <v>&lt;B&gt;&lt;U&gt;In calce l'ultimo aggiornamento  al 29/05/18 12:30&lt;/B&gt;&lt;/u&gt;&lt;br&gt;</v>
      </c>
      <c r="C78" s="5"/>
      <c r="Q78" s="15"/>
    </row>
    <row r="79" spans="2:17" x14ac:dyDescent="0.3">
      <c r="B79" s="36" t="str">
        <f>+IF('Utima rilevazione inviata'!B3="","",'Utima rilevazione inviata'!B3)</f>
        <v/>
      </c>
      <c r="C79" s="5"/>
      <c r="Q79" s="15"/>
    </row>
    <row r="80" spans="2:17" x14ac:dyDescent="0.3">
      <c r="B80" s="36" t="str">
        <f>+IF('Utima rilevazione inviata'!B4="","",'Utima rilevazione inviata'!B4)</f>
        <v/>
      </c>
      <c r="C80" s="5"/>
      <c r="Q80" s="15"/>
    </row>
    <row r="81" spans="2:17" x14ac:dyDescent="0.3">
      <c r="B81" s="36" t="str">
        <f>+IF('Utima rilevazione inviata'!B5="","",'Utima rilevazione inviata'!B5)</f>
        <v/>
      </c>
      <c r="C81" s="5"/>
      <c r="Q81" s="19"/>
    </row>
    <row r="82" spans="2:17" x14ac:dyDescent="0.3">
      <c r="B82" s="48" t="str">
        <f>+IF('Utima rilevazione inviata'!B6="","",'Utima rilevazione inviata'!B6)</f>
        <v/>
      </c>
      <c r="C82" s="5"/>
    </row>
    <row r="83" spans="2:17" x14ac:dyDescent="0.3">
      <c r="B83" s="48" t="str">
        <f>+IF('Utima rilevazione inviata'!B7="","",'Utima rilevazione inviata'!B7)</f>
        <v/>
      </c>
      <c r="C83" s="5"/>
    </row>
    <row r="84" spans="2:17" x14ac:dyDescent="0.3">
      <c r="B84" s="48" t="str">
        <f>+IF('Utima rilevazione inviata'!B8="","",'Utima rilevazione inviata'!B8)</f>
        <v/>
      </c>
      <c r="C84" s="5"/>
    </row>
    <row r="85" spans="2:17" x14ac:dyDescent="0.3">
      <c r="B85" s="48" t="str">
        <f>+IF('Utima rilevazione inviata'!B9="","",'Utima rilevazione inviata'!B9)</f>
        <v/>
      </c>
      <c r="C85" s="5"/>
    </row>
    <row r="86" spans="2:17" x14ac:dyDescent="0.3">
      <c r="B86" s="48" t="str">
        <f>+IF('Utima rilevazione inviata'!B10="","",'Utima rilevazione inviata'!B10)</f>
        <v/>
      </c>
      <c r="C86" s="5"/>
    </row>
    <row r="87" spans="2:17" x14ac:dyDescent="0.3">
      <c r="B87" s="48" t="str">
        <f>+IF('Utima rilevazione inviata'!B11="","",'Utima rilevazione inviata'!B11)</f>
        <v/>
      </c>
      <c r="C87" s="5"/>
    </row>
    <row r="88" spans="2:17" x14ac:dyDescent="0.3">
      <c r="B88" s="48" t="str">
        <f>+IF('Utima rilevazione inviata'!B12="","",'Utima rilevazione inviata'!B12)</f>
        <v/>
      </c>
      <c r="C88" s="5"/>
    </row>
    <row r="89" spans="2:17" x14ac:dyDescent="0.3">
      <c r="B89" s="48" t="str">
        <f>+IF('Utima rilevazione inviata'!B13="","",'Utima rilevazione inviata'!B13)</f>
        <v/>
      </c>
      <c r="C89" s="5"/>
    </row>
    <row r="90" spans="2:17" x14ac:dyDescent="0.3">
      <c r="B90" s="48" t="str">
        <f>+IF('Utima rilevazione inviata'!B14="","",'Utima rilevazione inviata'!B14)</f>
        <v/>
      </c>
      <c r="C90" s="5"/>
    </row>
    <row r="91" spans="2:17" x14ac:dyDescent="0.3">
      <c r="B91" s="48" t="str">
        <f>+IF('Utima rilevazione inviata'!B15="","",'Utima rilevazione inviata'!B15)</f>
        <v/>
      </c>
      <c r="C91" s="5"/>
    </row>
    <row r="92" spans="2:17" x14ac:dyDescent="0.3">
      <c r="B92" s="48" t="str">
        <f>+IF('Utima rilevazione inviata'!B16="","",'Utima rilevazione inviata'!B16)</f>
        <v/>
      </c>
      <c r="C92" s="5"/>
    </row>
    <row r="93" spans="2:17" x14ac:dyDescent="0.3">
      <c r="B93" s="48" t="str">
        <f>+IF('Utima rilevazione inviata'!B17="","",'Utima rilevazione inviata'!B17)</f>
        <v/>
      </c>
      <c r="C93" s="5"/>
    </row>
    <row r="94" spans="2:17" x14ac:dyDescent="0.3">
      <c r="B94" s="48" t="str">
        <f>+IF('Utima rilevazione inviata'!B18="","",'Utima rilevazione inviata'!B18)</f>
        <v/>
      </c>
      <c r="C94" s="5"/>
    </row>
    <row r="95" spans="2:17" ht="24.75" customHeight="1" x14ac:dyDescent="0.3">
      <c r="B95" s="48" t="str">
        <f>+IF('Utima rilevazione inviata'!B19="","",'Utima rilevazione inviata'!B19)</f>
        <v/>
      </c>
      <c r="C95" s="5"/>
    </row>
    <row r="96" spans="2:17" x14ac:dyDescent="0.3">
      <c r="B96" s="48" t="str">
        <f>+IF('Utima rilevazione inviata'!B20="","",'Utima rilevazione inviata'!B20)</f>
        <v/>
      </c>
      <c r="C96" s="5"/>
    </row>
    <row r="97" spans="2:3" x14ac:dyDescent="0.3">
      <c r="B97" s="48" t="str">
        <f>+IF('Utima rilevazione inviata'!B21="","",'Utima rilevazione inviata'!B21)</f>
        <v/>
      </c>
      <c r="C97" s="5"/>
    </row>
    <row r="98" spans="2:3" x14ac:dyDescent="0.3">
      <c r="B98" s="48" t="str">
        <f>+IF('Utima rilevazione inviata'!B22="","",'Utima rilevazione inviata'!B22)</f>
        <v/>
      </c>
      <c r="C98" s="5"/>
    </row>
    <row r="99" spans="2:3" x14ac:dyDescent="0.3">
      <c r="B99" s="48" t="str">
        <f>+IF('Utima rilevazione inviata'!B23="","",'Utima rilevazione inviata'!B23)</f>
        <v/>
      </c>
      <c r="C99" s="5"/>
    </row>
    <row r="100" spans="2:3" x14ac:dyDescent="0.3">
      <c r="B100" s="48" t="str">
        <f>+IF('Utima rilevazione inviata'!B24="","",'Utima rilevazione inviata'!B24)</f>
        <v/>
      </c>
      <c r="C100" s="5"/>
    </row>
    <row r="101" spans="2:3" x14ac:dyDescent="0.3">
      <c r="B101" s="48" t="str">
        <f>+IF('Utima rilevazione inviata'!B25="","",'Utima rilevazione inviata'!B25)</f>
        <v/>
      </c>
      <c r="C101" s="32"/>
    </row>
    <row r="102" spans="2:3" x14ac:dyDescent="0.3">
      <c r="B102" s="48" t="str">
        <f>+IF('Utima rilevazione inviata'!B26="","",'Utima rilevazione inviata'!B26)</f>
        <v/>
      </c>
      <c r="C102" s="32"/>
    </row>
    <row r="103" spans="2:3" x14ac:dyDescent="0.3">
      <c r="B103" s="48" t="str">
        <f>+IF('Utima rilevazione inviata'!B27="","",'Utima rilevazione inviata'!B27)</f>
        <v/>
      </c>
      <c r="C103" s="32"/>
    </row>
    <row r="104" spans="2:3" x14ac:dyDescent="0.3">
      <c r="B104" s="48" t="str">
        <f>+IF('Utima rilevazione inviata'!B28="","",'Utima rilevazione inviata'!B28)</f>
        <v/>
      </c>
      <c r="C104" s="32"/>
    </row>
    <row r="105" spans="2:3" x14ac:dyDescent="0.3">
      <c r="B105" s="48" t="str">
        <f>+IF('Utima rilevazione inviata'!B29="","",'Utima rilevazione inviata'!B29)</f>
        <v/>
      </c>
      <c r="C105" s="32"/>
    </row>
    <row r="106" spans="2:3" x14ac:dyDescent="0.3">
      <c r="B106" s="48" t="str">
        <f>+IF('Utima rilevazione inviata'!B30="","",'Utima rilevazione inviata'!B30)</f>
        <v/>
      </c>
      <c r="C106" s="32"/>
    </row>
    <row r="107" spans="2:3" x14ac:dyDescent="0.3">
      <c r="B107" s="45" t="str">
        <f>+IF('Utima rilevazione inviata'!B31="","",'Utima rilevazione inviata'!B31)</f>
        <v/>
      </c>
      <c r="C107" s="32"/>
    </row>
    <row r="108" spans="2:3" x14ac:dyDescent="0.3">
      <c r="B108" s="45" t="str">
        <f>+IF('Utima rilevazione inviata'!B32="","",'Utima rilevazione inviata'!B32)</f>
        <v/>
      </c>
      <c r="C108" s="32"/>
    </row>
    <row r="109" spans="2:3" x14ac:dyDescent="0.3">
      <c r="B109" s="45" t="str">
        <f>+IF('Utima rilevazione inviata'!B33="","",'Utima rilevazione inviata'!B33)</f>
        <v/>
      </c>
      <c r="C109" s="32"/>
    </row>
    <row r="110" spans="2:3" x14ac:dyDescent="0.3">
      <c r="B110" s="45" t="str">
        <f>+IF('Utima rilevazione inviata'!B34="","",'Utima rilevazione inviata'!B34)</f>
        <v/>
      </c>
      <c r="C110" s="32"/>
    </row>
    <row r="111" spans="2:3" x14ac:dyDescent="0.3">
      <c r="B111" s="45" t="str">
        <f>+IF('Utima rilevazione inviata'!B35="","",'Utima rilevazione inviata'!B35)</f>
        <v/>
      </c>
      <c r="C111" s="32"/>
    </row>
    <row r="112" spans="2:3" x14ac:dyDescent="0.3">
      <c r="B112" s="45" t="str">
        <f>+IF('Utima rilevazione inviata'!B36="","",'Utima rilevazione inviata'!B36)</f>
        <v/>
      </c>
      <c r="C112" s="32"/>
    </row>
    <row r="113" spans="2:3" x14ac:dyDescent="0.3">
      <c r="B113" s="45" t="str">
        <f>+IF('Utima rilevazione inviata'!B37="","",'Utima rilevazione inviata'!B37)</f>
        <v/>
      </c>
      <c r="C113" s="32"/>
    </row>
    <row r="114" spans="2:3" x14ac:dyDescent="0.3">
      <c r="B114" s="45" t="str">
        <f>+IF('Utima rilevazione inviata'!B38="","",'Utima rilevazione inviata'!B38)</f>
        <v/>
      </c>
      <c r="C114" s="33"/>
    </row>
    <row r="115" spans="2:3" x14ac:dyDescent="0.3">
      <c r="B115" s="45" t="str">
        <f>+IF('Utima rilevazione inviata'!B39="","",'Utima rilevazione inviata'!B39)</f>
        <v/>
      </c>
      <c r="C115" s="32"/>
    </row>
    <row r="116" spans="2:3" x14ac:dyDescent="0.3">
      <c r="B116" s="45" t="str">
        <f>+IF('Utima rilevazione inviata'!B40="","",'Utima rilevazione inviata'!B40)</f>
        <v/>
      </c>
      <c r="C116" s="33"/>
    </row>
    <row r="117" spans="2:3" x14ac:dyDescent="0.3">
      <c r="B117" s="45" t="str">
        <f>+IF('Utima rilevazione inviata'!B41="","",'Utima rilevazione inviata'!B41)</f>
        <v/>
      </c>
      <c r="C117" s="5"/>
    </row>
    <row r="118" spans="2:3" x14ac:dyDescent="0.3">
      <c r="B118" s="45" t="str">
        <f>+IF('Utima rilevazione inviata'!B42="","",'Utima rilevazione inviata'!B42)</f>
        <v/>
      </c>
    </row>
    <row r="119" spans="2:3" x14ac:dyDescent="0.3">
      <c r="B119" s="45" t="str">
        <f>+IF('Utima rilevazione inviata'!B43="","",'Utima rilevazione inviata'!B43)</f>
        <v/>
      </c>
    </row>
    <row r="120" spans="2:3" x14ac:dyDescent="0.3">
      <c r="B120" s="46" t="str">
        <f>+IF('Utima rilevazione inviata'!B44="","",'Utima rilevazione inviata'!B44)</f>
        <v/>
      </c>
    </row>
    <row r="121" spans="2:3" x14ac:dyDescent="0.3">
      <c r="B121" s="45" t="str">
        <f>+IF('Utima rilevazione inviata'!B45="","",'Utima rilevazione inviata'!B45)</f>
        <v/>
      </c>
    </row>
    <row r="122" spans="2:3" x14ac:dyDescent="0.3">
      <c r="B122" s="45" t="str">
        <f>+IF('Utima rilevazione inviata'!B46="","",'Utima rilevazione inviata'!B46)</f>
        <v/>
      </c>
    </row>
    <row r="123" spans="2:3" x14ac:dyDescent="0.3">
      <c r="B123" s="45" t="str">
        <f>+IF('Utima rilevazione inviata'!B47="","",'Utima rilevazione inviata'!B47)</f>
        <v/>
      </c>
    </row>
    <row r="124" spans="2:3" x14ac:dyDescent="0.3">
      <c r="B124" s="45" t="str">
        <f>+IF('Utima rilevazione inviata'!B48="","",'Utima rilevazione inviata'!B48)</f>
        <v/>
      </c>
    </row>
    <row r="125" spans="2:3" x14ac:dyDescent="0.3">
      <c r="B125" s="45" t="str">
        <f>+IF('Utima rilevazione inviata'!B49="","",'Utima rilevazione inviata'!B49)</f>
        <v/>
      </c>
    </row>
    <row r="126" spans="2:3" x14ac:dyDescent="0.3">
      <c r="B126" s="45" t="str">
        <f>+IF('Utima rilevazione inviata'!B50="","",'Utima rilevazione inviata'!B50)</f>
        <v/>
      </c>
    </row>
    <row r="127" spans="2:3" x14ac:dyDescent="0.3">
      <c r="B127" s="45" t="str">
        <f>+IF('Utima rilevazione inviata'!B51="","",'Utima rilevazione inviata'!B51)</f>
        <v/>
      </c>
    </row>
    <row r="128" spans="2:3" x14ac:dyDescent="0.3">
      <c r="B128" s="45" t="str">
        <f>+IF('Utima rilevazione inviata'!B52="","",'Utima rilevazione inviata'!B52)</f>
        <v/>
      </c>
    </row>
    <row r="129" spans="2:2" x14ac:dyDescent="0.3">
      <c r="B129" s="45" t="str">
        <f>+IF('Utima rilevazione inviata'!B53="","",'Utima rilevazione inviata'!B53)</f>
        <v/>
      </c>
    </row>
    <row r="130" spans="2:2" x14ac:dyDescent="0.3">
      <c r="B130" s="45" t="str">
        <f>+IF('Utima rilevazione inviata'!B54="","",'Utima rilevazione inviata'!B54)</f>
        <v/>
      </c>
    </row>
    <row r="131" spans="2:2" x14ac:dyDescent="0.3">
      <c r="B131" s="45" t="str">
        <f>+IF('Utima rilevazione inviata'!B55="","",'Utima rilevazione inviata'!B55)</f>
        <v/>
      </c>
    </row>
    <row r="132" spans="2:2" x14ac:dyDescent="0.3">
      <c r="B132" s="45" t="str">
        <f>+IF('Utima rilevazione inviata'!B56="","",'Utima rilevazione inviata'!B56)</f>
        <v/>
      </c>
    </row>
    <row r="133" spans="2:2" x14ac:dyDescent="0.3">
      <c r="B133" s="45" t="str">
        <f>+IF('Utima rilevazione inviata'!B57="","",'Utima rilevazione inviata'!B57)</f>
        <v/>
      </c>
    </row>
    <row r="134" spans="2:2" x14ac:dyDescent="0.3">
      <c r="B134" s="45" t="str">
        <f>+IF('Utima rilevazione inviata'!B58="","",'Utima rilevazione inviata'!B58)</f>
        <v/>
      </c>
    </row>
    <row r="135" spans="2:2" x14ac:dyDescent="0.3">
      <c r="B135" s="45" t="str">
        <f>+IF('Utima rilevazione inviata'!B59="","",'Utima rilevazione inviata'!B59)</f>
        <v/>
      </c>
    </row>
    <row r="136" spans="2:2" x14ac:dyDescent="0.3">
      <c r="B136" s="45" t="str">
        <f>+IF('Utima rilevazione inviata'!B60="","",'Utima rilevazione inviata'!B60)</f>
        <v/>
      </c>
    </row>
    <row r="137" spans="2:2" x14ac:dyDescent="0.3">
      <c r="B137" s="45" t="str">
        <f>+IF('Utima rilevazione inviata'!B61="","",'Utima rilevazione inviata'!B61)</f>
        <v/>
      </c>
    </row>
    <row r="138" spans="2:2" x14ac:dyDescent="0.3">
      <c r="B138" s="45" t="str">
        <f>+IF('Utima rilevazione inviata'!B62="","",'Utima rilevazione inviata'!B62)</f>
        <v/>
      </c>
    </row>
    <row r="139" spans="2:2" x14ac:dyDescent="0.3">
      <c r="B139" s="45" t="str">
        <f>+IF('Utima rilevazione inviata'!B63="","",'Utima rilevazione inviata'!B63)</f>
        <v/>
      </c>
    </row>
    <row r="140" spans="2:2" x14ac:dyDescent="0.3">
      <c r="B140" s="45" t="str">
        <f>+IF('Utima rilevazione inviata'!B64="","",'Utima rilevazione inviata'!B64)</f>
        <v/>
      </c>
    </row>
    <row r="141" spans="2:2" x14ac:dyDescent="0.3">
      <c r="B141" s="45" t="str">
        <f>+IF('Utima rilevazione inviata'!B65="","",'Utima rilevazione inviata'!B65)</f>
        <v/>
      </c>
    </row>
    <row r="142" spans="2:2" x14ac:dyDescent="0.3">
      <c r="B142" s="45" t="str">
        <f>+IF('Utima rilevazione inviata'!B66="","",'Utima rilevazione inviata'!B66)</f>
        <v/>
      </c>
    </row>
    <row r="143" spans="2:2" x14ac:dyDescent="0.3">
      <c r="B143" s="45" t="str">
        <f>+IF('Utima rilevazione inviata'!B67="","",'Utima rilevazione inviata'!B67)</f>
        <v/>
      </c>
    </row>
    <row r="144" spans="2:2" x14ac:dyDescent="0.3">
      <c r="B144" s="45" t="str">
        <f>+IF('Utima rilevazione inviata'!B68="","",'Utima rilevazione inviata'!B68)</f>
        <v/>
      </c>
    </row>
    <row r="145" spans="2:2" x14ac:dyDescent="0.3">
      <c r="B145" s="39" t="s">
        <v>15</v>
      </c>
    </row>
    <row r="146" spans="2:2" ht="28.8" x14ac:dyDescent="0.3">
      <c r="B146" s="45" t="s">
        <v>28</v>
      </c>
    </row>
    <row r="147" spans="2:2" x14ac:dyDescent="0.3">
      <c r="B147" s="45" t="s">
        <v>29</v>
      </c>
    </row>
    <row r="148" spans="2:2" x14ac:dyDescent="0.3">
      <c r="B148" s="45" t="s">
        <v>91</v>
      </c>
    </row>
    <row r="149" spans="2:2" x14ac:dyDescent="0.3">
      <c r="B149" s="45" t="s">
        <v>12</v>
      </c>
    </row>
    <row r="150" spans="2:2" x14ac:dyDescent="0.3">
      <c r="B150" s="45" t="s">
        <v>13</v>
      </c>
    </row>
    <row r="151" spans="2:2" x14ac:dyDescent="0.3">
      <c r="B151" s="45" t="s">
        <v>14</v>
      </c>
    </row>
    <row r="152" spans="2:2" x14ac:dyDescent="0.3">
      <c r="B152" s="45"/>
    </row>
    <row r="153" spans="2:2" x14ac:dyDescent="0.3">
      <c r="B153" s="45"/>
    </row>
    <row r="154" spans="2:2" x14ac:dyDescent="0.3">
      <c r="B154" s="45"/>
    </row>
    <row r="155" spans="2:2" x14ac:dyDescent="0.3">
      <c r="B155" s="45"/>
    </row>
    <row r="156" spans="2:2" x14ac:dyDescent="0.3">
      <c r="B156" s="45"/>
    </row>
    <row r="157" spans="2:2" x14ac:dyDescent="0.3">
      <c r="B157" s="45"/>
    </row>
    <row r="158" spans="2:2" x14ac:dyDescent="0.3">
      <c r="B158" s="45"/>
    </row>
    <row r="159" spans="2:2" x14ac:dyDescent="0.3">
      <c r="B159" s="45"/>
    </row>
    <row r="160" spans="2:2" x14ac:dyDescent="0.3">
      <c r="B160" s="45"/>
    </row>
    <row r="161" spans="2:2" x14ac:dyDescent="0.3">
      <c r="B161" s="45"/>
    </row>
    <row r="162" spans="2:2" x14ac:dyDescent="0.3">
      <c r="B162" s="45"/>
    </row>
    <row r="163" spans="2:2" x14ac:dyDescent="0.3">
      <c r="B163" s="45"/>
    </row>
    <row r="164" spans="2:2" x14ac:dyDescent="0.3">
      <c r="B164" s="45"/>
    </row>
    <row r="165" spans="2:2" x14ac:dyDescent="0.3">
      <c r="B165" s="45"/>
    </row>
    <row r="166" spans="2:2" x14ac:dyDescent="0.3">
      <c r="B166" s="45"/>
    </row>
    <row r="167" spans="2:2" x14ac:dyDescent="0.3">
      <c r="B167" s="45"/>
    </row>
    <row r="168" spans="2:2" x14ac:dyDescent="0.3">
      <c r="B168" s="45"/>
    </row>
    <row r="169" spans="2:2" x14ac:dyDescent="0.3">
      <c r="B169" s="45"/>
    </row>
    <row r="170" spans="2:2" x14ac:dyDescent="0.3">
      <c r="B170" s="45"/>
    </row>
    <row r="171" spans="2:2" x14ac:dyDescent="0.3">
      <c r="B171" s="45"/>
    </row>
    <row r="172" spans="2:2" x14ac:dyDescent="0.3">
      <c r="B172" s="45"/>
    </row>
    <row r="173" spans="2:2" x14ac:dyDescent="0.3">
      <c r="B173" s="45"/>
    </row>
    <row r="174" spans="2:2" x14ac:dyDescent="0.3">
      <c r="B174" s="45"/>
    </row>
    <row r="175" spans="2:2" x14ac:dyDescent="0.3">
      <c r="B175" s="45"/>
    </row>
    <row r="176" spans="2:2" x14ac:dyDescent="0.3">
      <c r="B176" s="45"/>
    </row>
    <row r="177" spans="2:2" x14ac:dyDescent="0.3">
      <c r="B177" s="45"/>
    </row>
    <row r="178" spans="2:2" x14ac:dyDescent="0.3">
      <c r="B178" s="45"/>
    </row>
    <row r="179" spans="2:2" x14ac:dyDescent="0.3">
      <c r="B179" s="45"/>
    </row>
    <row r="180" spans="2:2" x14ac:dyDescent="0.3">
      <c r="B180" s="45"/>
    </row>
    <row r="181" spans="2:2" x14ac:dyDescent="0.3">
      <c r="B181" s="45"/>
    </row>
    <row r="182" spans="2:2" x14ac:dyDescent="0.3">
      <c r="B182" s="45"/>
    </row>
    <row r="183" spans="2:2" x14ac:dyDescent="0.3">
      <c r="B183" s="45"/>
    </row>
    <row r="184" spans="2:2" x14ac:dyDescent="0.3">
      <c r="B184" s="45"/>
    </row>
    <row r="185" spans="2:2" x14ac:dyDescent="0.3">
      <c r="B185" s="45"/>
    </row>
    <row r="186" spans="2:2" x14ac:dyDescent="0.3">
      <c r="B186" s="45"/>
    </row>
    <row r="187" spans="2:2" x14ac:dyDescent="0.3">
      <c r="B187" s="45"/>
    </row>
    <row r="188" spans="2:2" x14ac:dyDescent="0.3">
      <c r="B188" s="45"/>
    </row>
    <row r="189" spans="2:2" x14ac:dyDescent="0.3">
      <c r="B189" s="45"/>
    </row>
    <row r="190" spans="2:2" x14ac:dyDescent="0.3">
      <c r="B190" s="45"/>
    </row>
    <row r="191" spans="2:2" x14ac:dyDescent="0.3">
      <c r="B191" s="45"/>
    </row>
    <row r="192" spans="2:2" x14ac:dyDescent="0.3">
      <c r="B192" s="45"/>
    </row>
    <row r="193" spans="2:2" x14ac:dyDescent="0.3">
      <c r="B193" s="45"/>
    </row>
    <row r="194" spans="2:2" x14ac:dyDescent="0.3">
      <c r="B194" s="45"/>
    </row>
    <row r="195" spans="2:2" x14ac:dyDescent="0.3">
      <c r="B195" s="45"/>
    </row>
    <row r="196" spans="2:2" x14ac:dyDescent="0.3">
      <c r="B196" s="45"/>
    </row>
    <row r="197" spans="2:2" x14ac:dyDescent="0.3">
      <c r="B197" s="45"/>
    </row>
    <row r="198" spans="2:2" x14ac:dyDescent="0.3">
      <c r="B198" s="45"/>
    </row>
    <row r="199" spans="2:2" x14ac:dyDescent="0.3">
      <c r="B199" s="45"/>
    </row>
    <row r="200" spans="2:2" x14ac:dyDescent="0.3">
      <c r="B200" s="45"/>
    </row>
    <row r="201" spans="2:2" x14ac:dyDescent="0.3">
      <c r="B201" s="45"/>
    </row>
    <row r="202" spans="2:2" x14ac:dyDescent="0.3">
      <c r="B202" s="45"/>
    </row>
    <row r="203" spans="2:2" x14ac:dyDescent="0.3">
      <c r="B203" s="45"/>
    </row>
    <row r="204" spans="2:2" x14ac:dyDescent="0.3">
      <c r="B204" s="45"/>
    </row>
    <row r="205" spans="2:2" x14ac:dyDescent="0.3">
      <c r="B205" s="45"/>
    </row>
    <row r="206" spans="2:2" x14ac:dyDescent="0.3">
      <c r="B206" s="45"/>
    </row>
    <row r="207" spans="2:2" x14ac:dyDescent="0.3">
      <c r="B207" s="45"/>
    </row>
    <row r="208" spans="2:2" x14ac:dyDescent="0.3">
      <c r="B208" s="45"/>
    </row>
    <row r="209" spans="2:2" x14ac:dyDescent="0.3">
      <c r="B209" s="45"/>
    </row>
    <row r="210" spans="2:2" x14ac:dyDescent="0.3">
      <c r="B210" s="45"/>
    </row>
    <row r="211" spans="2:2" x14ac:dyDescent="0.3">
      <c r="B211" s="45"/>
    </row>
    <row r="212" spans="2:2" x14ac:dyDescent="0.3">
      <c r="B212" s="45"/>
    </row>
    <row r="213" spans="2:2" x14ac:dyDescent="0.3">
      <c r="B213" s="45"/>
    </row>
    <row r="214" spans="2:2" x14ac:dyDescent="0.3">
      <c r="B214" s="45"/>
    </row>
    <row r="215" spans="2:2" x14ac:dyDescent="0.3">
      <c r="B215" s="45"/>
    </row>
    <row r="216" spans="2:2" x14ac:dyDescent="0.3">
      <c r="B216" s="45"/>
    </row>
    <row r="217" spans="2:2" x14ac:dyDescent="0.3">
      <c r="B217" s="45"/>
    </row>
    <row r="218" spans="2:2" x14ac:dyDescent="0.3">
      <c r="B218" s="45"/>
    </row>
    <row r="219" spans="2:2" x14ac:dyDescent="0.3">
      <c r="B219" s="45"/>
    </row>
    <row r="220" spans="2:2" x14ac:dyDescent="0.3">
      <c r="B220" s="45"/>
    </row>
    <row r="221" spans="2:2" x14ac:dyDescent="0.3">
      <c r="B221" s="45"/>
    </row>
    <row r="222" spans="2:2" x14ac:dyDescent="0.3">
      <c r="B222" s="45"/>
    </row>
    <row r="223" spans="2:2" x14ac:dyDescent="0.3">
      <c r="B223" s="45"/>
    </row>
    <row r="224" spans="2:2" x14ac:dyDescent="0.3">
      <c r="B224" s="45"/>
    </row>
    <row r="225" spans="2:2" x14ac:dyDescent="0.3">
      <c r="B225" s="45"/>
    </row>
    <row r="226" spans="2:2" x14ac:dyDescent="0.3">
      <c r="B226" s="45"/>
    </row>
    <row r="227" spans="2:2" x14ac:dyDescent="0.3">
      <c r="B227" s="45"/>
    </row>
    <row r="228" spans="2:2" x14ac:dyDescent="0.3">
      <c r="B228" s="45"/>
    </row>
    <row r="229" spans="2:2" x14ac:dyDescent="0.3">
      <c r="B229" s="45"/>
    </row>
    <row r="230" spans="2:2" x14ac:dyDescent="0.3">
      <c r="B230" s="45"/>
    </row>
    <row r="231" spans="2:2" x14ac:dyDescent="0.3">
      <c r="B231" s="45"/>
    </row>
    <row r="232" spans="2:2" x14ac:dyDescent="0.3">
      <c r="B232" s="45"/>
    </row>
    <row r="233" spans="2:2" x14ac:dyDescent="0.3">
      <c r="B233" s="45"/>
    </row>
    <row r="234" spans="2:2" x14ac:dyDescent="0.3">
      <c r="B234" s="45"/>
    </row>
    <row r="235" spans="2:2" x14ac:dyDescent="0.3">
      <c r="B235" s="45"/>
    </row>
    <row r="236" spans="2:2" x14ac:dyDescent="0.3">
      <c r="B236" s="45"/>
    </row>
    <row r="237" spans="2:2" x14ac:dyDescent="0.3">
      <c r="B237" s="45"/>
    </row>
    <row r="238" spans="2:2" x14ac:dyDescent="0.3">
      <c r="B238" s="45"/>
    </row>
    <row r="239" spans="2:2" x14ac:dyDescent="0.3">
      <c r="B239" s="45"/>
    </row>
    <row r="240" spans="2:2" x14ac:dyDescent="0.3">
      <c r="B240" s="45"/>
    </row>
    <row r="241" spans="2:2" x14ac:dyDescent="0.3">
      <c r="B241" s="45"/>
    </row>
    <row r="242" spans="2:2" x14ac:dyDescent="0.3">
      <c r="B242" s="45"/>
    </row>
    <row r="243" spans="2:2" x14ac:dyDescent="0.3">
      <c r="B243" s="45"/>
    </row>
    <row r="244" spans="2:2" x14ac:dyDescent="0.3">
      <c r="B244" s="45"/>
    </row>
    <row r="245" spans="2:2" x14ac:dyDescent="0.3">
      <c r="B245" s="45"/>
    </row>
    <row r="246" spans="2:2" x14ac:dyDescent="0.3">
      <c r="B246" s="45"/>
    </row>
    <row r="247" spans="2:2" x14ac:dyDescent="0.3">
      <c r="B247" s="45"/>
    </row>
    <row r="248" spans="2:2" x14ac:dyDescent="0.3">
      <c r="B248" s="45"/>
    </row>
    <row r="249" spans="2:2" x14ac:dyDescent="0.3">
      <c r="B249" s="45"/>
    </row>
    <row r="250" spans="2:2" x14ac:dyDescent="0.3">
      <c r="B250" s="45"/>
    </row>
    <row r="251" spans="2:2" x14ac:dyDescent="0.3">
      <c r="B251" s="45"/>
    </row>
    <row r="252" spans="2:2" x14ac:dyDescent="0.3">
      <c r="B252" s="45"/>
    </row>
    <row r="253" spans="2:2" x14ac:dyDescent="0.3">
      <c r="B253" s="45"/>
    </row>
    <row r="254" spans="2:2" x14ac:dyDescent="0.3">
      <c r="B254" s="45"/>
    </row>
    <row r="255" spans="2:2" x14ac:dyDescent="0.3">
      <c r="B255" s="45"/>
    </row>
    <row r="256" spans="2:2" x14ac:dyDescent="0.3">
      <c r="B256" s="45"/>
    </row>
    <row r="257" spans="2:2" x14ac:dyDescent="0.3">
      <c r="B257" s="45"/>
    </row>
    <row r="258" spans="2:2" x14ac:dyDescent="0.3">
      <c r="B258" s="45"/>
    </row>
    <row r="259" spans="2:2" x14ac:dyDescent="0.3">
      <c r="B259" s="45"/>
    </row>
    <row r="260" spans="2:2" x14ac:dyDescent="0.3">
      <c r="B260" s="45"/>
    </row>
    <row r="261" spans="2:2" x14ac:dyDescent="0.3">
      <c r="B261" s="45"/>
    </row>
    <row r="262" spans="2:2" x14ac:dyDescent="0.3">
      <c r="B262" s="45"/>
    </row>
    <row r="263" spans="2:2" x14ac:dyDescent="0.3">
      <c r="B263" s="45"/>
    </row>
    <row r="264" spans="2:2" x14ac:dyDescent="0.3">
      <c r="B264" s="45"/>
    </row>
    <row r="265" spans="2:2" x14ac:dyDescent="0.3">
      <c r="B265" s="45"/>
    </row>
    <row r="266" spans="2:2" x14ac:dyDescent="0.3">
      <c r="B266" s="45"/>
    </row>
    <row r="267" spans="2:2" x14ac:dyDescent="0.3">
      <c r="B267" s="45"/>
    </row>
    <row r="268" spans="2:2" x14ac:dyDescent="0.3">
      <c r="B268" s="45"/>
    </row>
    <row r="269" spans="2:2" x14ac:dyDescent="0.3">
      <c r="B269" s="45"/>
    </row>
    <row r="270" spans="2:2" x14ac:dyDescent="0.3">
      <c r="B270" s="45"/>
    </row>
    <row r="271" spans="2:2" x14ac:dyDescent="0.3">
      <c r="B271" s="45"/>
    </row>
    <row r="272" spans="2:2" x14ac:dyDescent="0.3">
      <c r="B272" s="45"/>
    </row>
    <row r="273" spans="2:2" x14ac:dyDescent="0.3">
      <c r="B273" s="45"/>
    </row>
    <row r="274" spans="2:2" x14ac:dyDescent="0.3">
      <c r="B274" s="45"/>
    </row>
    <row r="275" spans="2:2" x14ac:dyDescent="0.3">
      <c r="B275" s="45"/>
    </row>
    <row r="276" spans="2:2" x14ac:dyDescent="0.3">
      <c r="B276" s="45"/>
    </row>
    <row r="277" spans="2:2" x14ac:dyDescent="0.3">
      <c r="B277" s="45"/>
    </row>
    <row r="278" spans="2:2" x14ac:dyDescent="0.3">
      <c r="B278" s="45"/>
    </row>
    <row r="279" spans="2:2" x14ac:dyDescent="0.3">
      <c r="B279" s="45"/>
    </row>
    <row r="280" spans="2:2" x14ac:dyDescent="0.3">
      <c r="B280" s="45"/>
    </row>
    <row r="281" spans="2:2" x14ac:dyDescent="0.3">
      <c r="B281" s="45"/>
    </row>
    <row r="282" spans="2:2" x14ac:dyDescent="0.3">
      <c r="B282" s="45"/>
    </row>
    <row r="283" spans="2:2" x14ac:dyDescent="0.3">
      <c r="B283" s="45"/>
    </row>
    <row r="284" spans="2:2" x14ac:dyDescent="0.3">
      <c r="B284" s="45"/>
    </row>
    <row r="285" spans="2:2" x14ac:dyDescent="0.3">
      <c r="B285" s="45"/>
    </row>
    <row r="286" spans="2:2" x14ac:dyDescent="0.3">
      <c r="B286" s="45"/>
    </row>
    <row r="287" spans="2:2" x14ac:dyDescent="0.3">
      <c r="B287" s="45"/>
    </row>
    <row r="288" spans="2:2" x14ac:dyDescent="0.3">
      <c r="B288" s="45"/>
    </row>
    <row r="289" spans="2:2" x14ac:dyDescent="0.3">
      <c r="B289" s="45"/>
    </row>
    <row r="290" spans="2:2" x14ac:dyDescent="0.3">
      <c r="B290" s="45"/>
    </row>
    <row r="291" spans="2:2" x14ac:dyDescent="0.3">
      <c r="B291" s="45"/>
    </row>
    <row r="292" spans="2:2" x14ac:dyDescent="0.3">
      <c r="B292" s="45"/>
    </row>
    <row r="293" spans="2:2" x14ac:dyDescent="0.3">
      <c r="B293" s="45"/>
    </row>
    <row r="294" spans="2:2" x14ac:dyDescent="0.3">
      <c r="B294" s="45"/>
    </row>
    <row r="295" spans="2:2" x14ac:dyDescent="0.3">
      <c r="B295" s="45"/>
    </row>
    <row r="296" spans="2:2" x14ac:dyDescent="0.3">
      <c r="B296" s="45"/>
    </row>
    <row r="297" spans="2:2" x14ac:dyDescent="0.3">
      <c r="B297" s="45"/>
    </row>
    <row r="298" spans="2:2" x14ac:dyDescent="0.3">
      <c r="B298" s="45"/>
    </row>
    <row r="299" spans="2:2" x14ac:dyDescent="0.3">
      <c r="B299" s="45"/>
    </row>
    <row r="300" spans="2:2" x14ac:dyDescent="0.3">
      <c r="B300" s="45"/>
    </row>
    <row r="301" spans="2:2" x14ac:dyDescent="0.3">
      <c r="B301" s="45"/>
    </row>
    <row r="302" spans="2:2" x14ac:dyDescent="0.3">
      <c r="B302" s="45"/>
    </row>
    <row r="303" spans="2:2" x14ac:dyDescent="0.3">
      <c r="B303" s="45"/>
    </row>
    <row r="304" spans="2:2" x14ac:dyDescent="0.3">
      <c r="B304" s="45"/>
    </row>
    <row r="305" spans="2:2" x14ac:dyDescent="0.3">
      <c r="B305" s="45"/>
    </row>
    <row r="306" spans="2:2" x14ac:dyDescent="0.3">
      <c r="B306" s="45"/>
    </row>
    <row r="307" spans="2:2" x14ac:dyDescent="0.3">
      <c r="B307" s="45"/>
    </row>
    <row r="308" spans="2:2" x14ac:dyDescent="0.3">
      <c r="B308" s="45"/>
    </row>
    <row r="309" spans="2:2" x14ac:dyDescent="0.3">
      <c r="B309" s="45"/>
    </row>
    <row r="310" spans="2:2" x14ac:dyDescent="0.3">
      <c r="B310" s="45"/>
    </row>
    <row r="311" spans="2:2" x14ac:dyDescent="0.3">
      <c r="B311" s="45"/>
    </row>
    <row r="312" spans="2:2" x14ac:dyDescent="0.3">
      <c r="B312" s="45"/>
    </row>
    <row r="313" spans="2:2" x14ac:dyDescent="0.3">
      <c r="B313" s="45"/>
    </row>
  </sheetData>
  <hyperlinks>
    <hyperlink ref="E9" r:id="rId1" xr:uid="{1A086375-5344-47CD-BAA7-3F007147D308}"/>
    <hyperlink ref="E25" r:id="rId2" xr:uid="{B112EE5F-00F6-43A5-A326-673279719D59}"/>
    <hyperlink ref="E42" r:id="rId3" xr:uid="{3119FD88-CE2E-4BE6-9664-724F42818BA1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programmazione">
                <anchor moveWithCells="1" sizeWithCells="1">
                  <from>
                    <xdr:col>1</xdr:col>
                    <xdr:colOff>4655820</xdr:colOff>
                    <xdr:row>1</xdr:row>
                    <xdr:rowOff>182880</xdr:rowOff>
                  </from>
                  <to>
                    <xdr:col>3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L8296"/>
  <sheetViews>
    <sheetView workbookViewId="0">
      <selection activeCell="F9" sqref="F9"/>
    </sheetView>
  </sheetViews>
  <sheetFormatPr defaultRowHeight="14.4" x14ac:dyDescent="0.3"/>
  <cols>
    <col min="2" max="2" width="42.6640625" customWidth="1"/>
    <col min="3" max="3" width="11" bestFit="1" customWidth="1"/>
    <col min="5" max="5" width="22.5546875" customWidth="1"/>
    <col min="12" max="12" width="11" bestFit="1" customWidth="1"/>
  </cols>
  <sheetData>
    <row r="2" spans="2:5" x14ac:dyDescent="0.3">
      <c r="B2" t="s">
        <v>5</v>
      </c>
      <c r="E2" t="s">
        <v>6</v>
      </c>
    </row>
    <row r="3" spans="2:5" x14ac:dyDescent="0.3">
      <c r="B3" s="49"/>
      <c r="C3" s="14"/>
      <c r="E3" s="24">
        <v>43249.520891203705</v>
      </c>
    </row>
    <row r="4" spans="2:5" x14ac:dyDescent="0.3">
      <c r="B4" s="45"/>
      <c r="C4" s="14"/>
    </row>
    <row r="5" spans="2:5" x14ac:dyDescent="0.3">
      <c r="B5" s="45"/>
      <c r="C5" s="14"/>
    </row>
    <row r="6" spans="2:5" x14ac:dyDescent="0.3">
      <c r="B6" s="45"/>
      <c r="C6" s="14"/>
    </row>
    <row r="7" spans="2:5" x14ac:dyDescent="0.3">
      <c r="B7" s="45"/>
      <c r="C7" s="14"/>
    </row>
    <row r="8" spans="2:5" x14ac:dyDescent="0.3">
      <c r="B8" s="48"/>
      <c r="C8" s="14"/>
    </row>
    <row r="9" spans="2:5" x14ac:dyDescent="0.3">
      <c r="B9" s="48"/>
      <c r="C9" s="14"/>
    </row>
    <row r="10" spans="2:5" x14ac:dyDescent="0.3">
      <c r="B10" s="48"/>
      <c r="C10" s="14"/>
    </row>
    <row r="11" spans="2:5" x14ac:dyDescent="0.3">
      <c r="B11" s="48"/>
      <c r="C11" s="14"/>
    </row>
    <row r="12" spans="2:5" x14ac:dyDescent="0.3">
      <c r="B12" s="48"/>
      <c r="C12" s="14"/>
    </row>
    <row r="13" spans="2:5" x14ac:dyDescent="0.3">
      <c r="B13" s="48"/>
      <c r="C13" s="14"/>
    </row>
    <row r="14" spans="2:5" x14ac:dyDescent="0.3">
      <c r="B14" s="48"/>
      <c r="C14" s="14"/>
    </row>
    <row r="15" spans="2:5" x14ac:dyDescent="0.3">
      <c r="B15" s="48"/>
      <c r="C15" s="14"/>
    </row>
    <row r="16" spans="2:5" x14ac:dyDescent="0.3">
      <c r="B16" s="48"/>
      <c r="C16" s="14"/>
    </row>
    <row r="17" spans="2:3" x14ac:dyDescent="0.3">
      <c r="B17" s="48"/>
      <c r="C17" s="14"/>
    </row>
    <row r="18" spans="2:3" x14ac:dyDescent="0.3">
      <c r="B18" s="48"/>
      <c r="C18" s="14"/>
    </row>
    <row r="19" spans="2:3" x14ac:dyDescent="0.3">
      <c r="B19" s="48"/>
      <c r="C19" s="14"/>
    </row>
    <row r="20" spans="2:3" x14ac:dyDescent="0.3">
      <c r="B20" s="48"/>
      <c r="C20" s="14"/>
    </row>
    <row r="21" spans="2:3" x14ac:dyDescent="0.3">
      <c r="B21" s="48"/>
      <c r="C21" s="14"/>
    </row>
    <row r="22" spans="2:3" x14ac:dyDescent="0.3">
      <c r="B22" s="48"/>
      <c r="C22" s="14"/>
    </row>
    <row r="23" spans="2:3" x14ac:dyDescent="0.3">
      <c r="B23" s="48"/>
      <c r="C23" s="14"/>
    </row>
    <row r="24" spans="2:3" x14ac:dyDescent="0.3">
      <c r="B24" s="48"/>
      <c r="C24" s="14"/>
    </row>
    <row r="25" spans="2:3" x14ac:dyDescent="0.3">
      <c r="B25" s="48"/>
      <c r="C25" s="14"/>
    </row>
    <row r="26" spans="2:3" x14ac:dyDescent="0.3">
      <c r="B26" s="48"/>
      <c r="C26" s="14"/>
    </row>
    <row r="27" spans="2:3" x14ac:dyDescent="0.3">
      <c r="B27" s="48"/>
      <c r="C27" s="14"/>
    </row>
    <row r="28" spans="2:3" x14ac:dyDescent="0.3">
      <c r="B28" s="48"/>
      <c r="C28" s="14"/>
    </row>
    <row r="29" spans="2:3" x14ac:dyDescent="0.3">
      <c r="B29" s="48"/>
      <c r="C29" s="14"/>
    </row>
    <row r="30" spans="2:3" x14ac:dyDescent="0.3">
      <c r="B30" s="48"/>
      <c r="C30" s="14"/>
    </row>
    <row r="31" spans="2:3" x14ac:dyDescent="0.3">
      <c r="B31" s="48"/>
      <c r="C31" s="14"/>
    </row>
    <row r="32" spans="2:3" x14ac:dyDescent="0.3">
      <c r="B32" s="48"/>
      <c r="C32" s="14"/>
    </row>
    <row r="33" spans="2:3" x14ac:dyDescent="0.3">
      <c r="B33" s="48"/>
      <c r="C33" s="14"/>
    </row>
    <row r="34" spans="2:3" x14ac:dyDescent="0.3">
      <c r="B34" s="48"/>
      <c r="C34" s="14"/>
    </row>
    <row r="35" spans="2:3" x14ac:dyDescent="0.3">
      <c r="B35" s="48"/>
      <c r="C35" s="14"/>
    </row>
    <row r="36" spans="2:3" x14ac:dyDescent="0.3">
      <c r="B36" s="48"/>
      <c r="C36" s="14"/>
    </row>
    <row r="37" spans="2:3" x14ac:dyDescent="0.3">
      <c r="B37" s="48"/>
      <c r="C37" s="14"/>
    </row>
    <row r="38" spans="2:3" x14ac:dyDescent="0.3">
      <c r="B38" s="48"/>
      <c r="C38" s="14"/>
    </row>
    <row r="39" spans="2:3" x14ac:dyDescent="0.3">
      <c r="B39" s="48"/>
      <c r="C39" s="14"/>
    </row>
    <row r="40" spans="2:3" x14ac:dyDescent="0.3">
      <c r="B40" s="48"/>
      <c r="C40" s="14"/>
    </row>
    <row r="41" spans="2:3" x14ac:dyDescent="0.3">
      <c r="B41" s="48"/>
      <c r="C41" s="14"/>
    </row>
    <row r="42" spans="2:3" x14ac:dyDescent="0.3">
      <c r="B42" s="48"/>
      <c r="C42" s="14"/>
    </row>
    <row r="43" spans="2:3" x14ac:dyDescent="0.3">
      <c r="B43" s="48"/>
      <c r="C43" s="14"/>
    </row>
    <row r="44" spans="2:3" x14ac:dyDescent="0.3">
      <c r="B44" s="48"/>
      <c r="C44" s="14"/>
    </row>
    <row r="45" spans="2:3" x14ac:dyDescent="0.3">
      <c r="B45" s="48"/>
      <c r="C45" s="14"/>
    </row>
    <row r="46" spans="2:3" x14ac:dyDescent="0.3">
      <c r="B46" s="48"/>
      <c r="C46" s="14"/>
    </row>
    <row r="47" spans="2:3" x14ac:dyDescent="0.3">
      <c r="B47" s="48"/>
      <c r="C47" s="14"/>
    </row>
    <row r="48" spans="2:3" x14ac:dyDescent="0.3">
      <c r="B48" s="48"/>
      <c r="C48" s="14"/>
    </row>
    <row r="49" spans="2:3" x14ac:dyDescent="0.3">
      <c r="B49" s="48"/>
      <c r="C49" s="14"/>
    </row>
    <row r="50" spans="2:3" x14ac:dyDescent="0.3">
      <c r="B50" s="48"/>
      <c r="C50" s="14"/>
    </row>
    <row r="51" spans="2:3" x14ac:dyDescent="0.3">
      <c r="B51" s="48"/>
      <c r="C51" s="14"/>
    </row>
    <row r="52" spans="2:3" x14ac:dyDescent="0.3">
      <c r="B52" s="48"/>
      <c r="C52" s="14"/>
    </row>
    <row r="53" spans="2:3" x14ac:dyDescent="0.3">
      <c r="B53" s="48"/>
      <c r="C53" s="14"/>
    </row>
    <row r="54" spans="2:3" x14ac:dyDescent="0.3">
      <c r="B54" s="48"/>
      <c r="C54" s="14"/>
    </row>
    <row r="55" spans="2:3" x14ac:dyDescent="0.3">
      <c r="B55" s="48"/>
      <c r="C55" s="14"/>
    </row>
    <row r="56" spans="2:3" x14ac:dyDescent="0.3">
      <c r="B56" s="48"/>
      <c r="C56" s="14"/>
    </row>
    <row r="57" spans="2:3" x14ac:dyDescent="0.3">
      <c r="B57" s="48"/>
      <c r="C57" s="14"/>
    </row>
    <row r="58" spans="2:3" x14ac:dyDescent="0.3">
      <c r="B58" s="48"/>
      <c r="C58" s="14"/>
    </row>
    <row r="59" spans="2:3" x14ac:dyDescent="0.3">
      <c r="B59" s="48"/>
      <c r="C59" s="14"/>
    </row>
    <row r="60" spans="2:3" x14ac:dyDescent="0.3">
      <c r="B60" s="48"/>
      <c r="C60" s="14"/>
    </row>
    <row r="61" spans="2:3" x14ac:dyDescent="0.3">
      <c r="B61" s="48"/>
      <c r="C61" s="14"/>
    </row>
    <row r="62" spans="2:3" x14ac:dyDescent="0.3">
      <c r="B62" s="48"/>
      <c r="C62" s="14"/>
    </row>
    <row r="63" spans="2:3" x14ac:dyDescent="0.3">
      <c r="B63" s="48"/>
      <c r="C63" s="14"/>
    </row>
    <row r="64" spans="2:3" x14ac:dyDescent="0.3">
      <c r="B64" s="48"/>
      <c r="C64" s="14"/>
    </row>
    <row r="65" spans="2:3" x14ac:dyDescent="0.3">
      <c r="B65" s="48"/>
      <c r="C65" s="14"/>
    </row>
    <row r="66" spans="2:3" x14ac:dyDescent="0.3">
      <c r="B66" s="48"/>
      <c r="C66" s="14"/>
    </row>
    <row r="67" spans="2:3" x14ac:dyDescent="0.3">
      <c r="B67" s="48"/>
      <c r="C67" s="14"/>
    </row>
    <row r="68" spans="2:3" x14ac:dyDescent="0.3">
      <c r="B68" s="48"/>
      <c r="C68" s="14"/>
    </row>
    <row r="69" spans="2:3" x14ac:dyDescent="0.3">
      <c r="B69" s="48"/>
      <c r="C69" s="14"/>
    </row>
    <row r="70" spans="2:3" x14ac:dyDescent="0.3">
      <c r="B70" s="48"/>
      <c r="C70" s="14"/>
    </row>
    <row r="71" spans="2:3" x14ac:dyDescent="0.3">
      <c r="B71" s="48"/>
      <c r="C71" s="14"/>
    </row>
    <row r="72" spans="2:3" x14ac:dyDescent="0.3">
      <c r="B72" s="48"/>
      <c r="C72" s="14"/>
    </row>
    <row r="73" spans="2:3" x14ac:dyDescent="0.3">
      <c r="B73" s="48"/>
      <c r="C73" s="14"/>
    </row>
    <row r="74" spans="2:3" x14ac:dyDescent="0.3">
      <c r="B74" s="48"/>
      <c r="C74" s="14"/>
    </row>
    <row r="75" spans="2:3" x14ac:dyDescent="0.3">
      <c r="B75" s="48"/>
      <c r="C75" s="14"/>
    </row>
    <row r="76" spans="2:3" x14ac:dyDescent="0.3">
      <c r="B76" s="48"/>
      <c r="C76" s="14"/>
    </row>
    <row r="77" spans="2:3" x14ac:dyDescent="0.3">
      <c r="B77" s="48"/>
      <c r="C77" s="14"/>
    </row>
    <row r="78" spans="2:3" x14ac:dyDescent="0.3">
      <c r="B78" s="48"/>
      <c r="C78" s="14"/>
    </row>
    <row r="79" spans="2:3" x14ac:dyDescent="0.3">
      <c r="B79" s="48"/>
      <c r="C79" s="14"/>
    </row>
    <row r="80" spans="2:3" x14ac:dyDescent="0.3">
      <c r="B80" s="48"/>
      <c r="C80" s="14"/>
    </row>
    <row r="81" spans="2:3" x14ac:dyDescent="0.3">
      <c r="B81" s="48"/>
      <c r="C81" s="14"/>
    </row>
    <row r="82" spans="2:3" x14ac:dyDescent="0.3">
      <c r="B82" s="48"/>
      <c r="C82" s="14"/>
    </row>
    <row r="83" spans="2:3" x14ac:dyDescent="0.3">
      <c r="B83" s="48"/>
      <c r="C83" s="14"/>
    </row>
    <row r="84" spans="2:3" x14ac:dyDescent="0.3">
      <c r="B84" s="48"/>
      <c r="C84" s="14"/>
    </row>
    <row r="85" spans="2:3" x14ac:dyDescent="0.3">
      <c r="B85" s="45"/>
      <c r="C85" s="14"/>
    </row>
    <row r="86" spans="2:3" x14ac:dyDescent="0.3">
      <c r="B86" s="45"/>
      <c r="C86" s="14"/>
    </row>
    <row r="87" spans="2:3" x14ac:dyDescent="0.3">
      <c r="B87" s="45"/>
      <c r="C87" s="14"/>
    </row>
    <row r="88" spans="2:3" x14ac:dyDescent="0.3">
      <c r="B88" s="45"/>
      <c r="C88" s="14"/>
    </row>
    <row r="89" spans="2:3" x14ac:dyDescent="0.3">
      <c r="B89" s="45"/>
      <c r="C89" s="14"/>
    </row>
    <row r="90" spans="2:3" x14ac:dyDescent="0.3">
      <c r="B90" s="45"/>
      <c r="C90" s="14"/>
    </row>
    <row r="91" spans="2:3" x14ac:dyDescent="0.3">
      <c r="B91" s="45"/>
      <c r="C91" s="14"/>
    </row>
    <row r="92" spans="2:3" x14ac:dyDescent="0.3">
      <c r="B92" s="45"/>
      <c r="C92" s="14"/>
    </row>
    <row r="93" spans="2:3" x14ac:dyDescent="0.3">
      <c r="B93" s="45"/>
      <c r="C93" s="14"/>
    </row>
    <row r="94" spans="2:3" x14ac:dyDescent="0.3">
      <c r="B94" s="45"/>
      <c r="C94" s="14"/>
    </row>
    <row r="95" spans="2:3" x14ac:dyDescent="0.3">
      <c r="B95" s="45"/>
      <c r="C95" s="14"/>
    </row>
    <row r="96" spans="2:3" x14ac:dyDescent="0.3">
      <c r="B96" s="45"/>
      <c r="C96" s="14"/>
    </row>
    <row r="97" spans="2:3" x14ac:dyDescent="0.3">
      <c r="B97" s="45"/>
      <c r="C97" s="14"/>
    </row>
    <row r="98" spans="2:3" x14ac:dyDescent="0.3">
      <c r="B98" s="45"/>
      <c r="C98" s="14"/>
    </row>
    <row r="99" spans="2:3" x14ac:dyDescent="0.3">
      <c r="B99" s="45"/>
      <c r="C99" s="14"/>
    </row>
    <row r="100" spans="2:3" x14ac:dyDescent="0.3">
      <c r="B100" s="46"/>
      <c r="C100" s="14"/>
    </row>
    <row r="101" spans="2:3" x14ac:dyDescent="0.3">
      <c r="B101" s="45"/>
      <c r="C101" s="14"/>
    </row>
    <row r="102" spans="2:3" x14ac:dyDescent="0.3">
      <c r="B102" s="47"/>
      <c r="C102" s="14"/>
    </row>
    <row r="103" spans="2:3" x14ac:dyDescent="0.3">
      <c r="B103" s="44"/>
      <c r="C103" s="14"/>
    </row>
    <row r="104" spans="2:3" x14ac:dyDescent="0.3">
      <c r="B104" s="44"/>
      <c r="C104" s="14"/>
    </row>
    <row r="105" spans="2:3" x14ac:dyDescent="0.3">
      <c r="B105" s="44"/>
      <c r="C105" s="14"/>
    </row>
    <row r="106" spans="2:3" x14ac:dyDescent="0.3">
      <c r="B106" s="44"/>
      <c r="C106" s="14"/>
    </row>
    <row r="107" spans="2:3" x14ac:dyDescent="0.3">
      <c r="B107" s="44"/>
      <c r="C107" s="14"/>
    </row>
    <row r="108" spans="2:3" x14ac:dyDescent="0.3">
      <c r="B108" s="44"/>
      <c r="C108" s="14"/>
    </row>
    <row r="109" spans="2:3" x14ac:dyDescent="0.3">
      <c r="B109" s="44"/>
      <c r="C109" s="14"/>
    </row>
    <row r="110" spans="2:3" x14ac:dyDescent="0.3">
      <c r="B110" s="44"/>
      <c r="C110" s="14"/>
    </row>
    <row r="111" spans="2:3" x14ac:dyDescent="0.3">
      <c r="B111" s="44"/>
      <c r="C111" s="14"/>
    </row>
    <row r="112" spans="2:3" x14ac:dyDescent="0.3">
      <c r="B112" s="44"/>
      <c r="C112" s="14"/>
    </row>
    <row r="113" spans="2:3" x14ac:dyDescent="0.3">
      <c r="B113" s="44"/>
      <c r="C113" s="14"/>
    </row>
    <row r="114" spans="2:3" x14ac:dyDescent="0.3">
      <c r="B114" s="44"/>
      <c r="C114" s="14"/>
    </row>
    <row r="115" spans="2:3" x14ac:dyDescent="0.3">
      <c r="B115" s="44"/>
      <c r="C115" s="14"/>
    </row>
    <row r="116" spans="2:3" x14ac:dyDescent="0.3">
      <c r="B116" s="44"/>
      <c r="C116" s="14"/>
    </row>
    <row r="117" spans="2:3" x14ac:dyDescent="0.3">
      <c r="B117" s="44"/>
      <c r="C117" s="14"/>
    </row>
    <row r="118" spans="2:3" x14ac:dyDescent="0.3">
      <c r="B118" s="44"/>
      <c r="C118" s="14"/>
    </row>
    <row r="119" spans="2:3" x14ac:dyDescent="0.3">
      <c r="B119" s="44"/>
      <c r="C119" s="14"/>
    </row>
    <row r="120" spans="2:3" x14ac:dyDescent="0.3">
      <c r="B120" s="44"/>
      <c r="C120" s="14"/>
    </row>
    <row r="121" spans="2:3" x14ac:dyDescent="0.3">
      <c r="C121" s="14"/>
    </row>
    <row r="122" spans="2:3" x14ac:dyDescent="0.3">
      <c r="C122" s="14"/>
    </row>
    <row r="123" spans="2:3" x14ac:dyDescent="0.3">
      <c r="C123" s="14"/>
    </row>
    <row r="124" spans="2:3" x14ac:dyDescent="0.3">
      <c r="C124" s="14"/>
    </row>
    <row r="125" spans="2:3" x14ac:dyDescent="0.3">
      <c r="C125" s="14"/>
    </row>
    <row r="126" spans="2:3" x14ac:dyDescent="0.3">
      <c r="C126" s="14"/>
    </row>
    <row r="127" spans="2:3" x14ac:dyDescent="0.3">
      <c r="C127" s="14"/>
    </row>
    <row r="128" spans="2:3" x14ac:dyDescent="0.3">
      <c r="C128" s="14"/>
    </row>
    <row r="129" spans="3:3" x14ac:dyDescent="0.3">
      <c r="C129" s="14"/>
    </row>
    <row r="130" spans="3:3" x14ac:dyDescent="0.3">
      <c r="C130" s="14"/>
    </row>
    <row r="131" spans="3:3" x14ac:dyDescent="0.3">
      <c r="C131" s="14"/>
    </row>
    <row r="132" spans="3:3" x14ac:dyDescent="0.3">
      <c r="C132" s="14"/>
    </row>
    <row r="133" spans="3:3" x14ac:dyDescent="0.3">
      <c r="C133" s="14"/>
    </row>
    <row r="134" spans="3:3" x14ac:dyDescent="0.3">
      <c r="C134" s="14"/>
    </row>
    <row r="135" spans="3:3" x14ac:dyDescent="0.3">
      <c r="C135" s="14"/>
    </row>
    <row r="136" spans="3:3" x14ac:dyDescent="0.3">
      <c r="C136" s="14"/>
    </row>
    <row r="137" spans="3:3" x14ac:dyDescent="0.3">
      <c r="C137" s="14"/>
    </row>
    <row r="138" spans="3:3" x14ac:dyDescent="0.3">
      <c r="C138" s="14"/>
    </row>
    <row r="139" spans="3:3" x14ac:dyDescent="0.3">
      <c r="C139" s="14"/>
    </row>
    <row r="140" spans="3:3" x14ac:dyDescent="0.3">
      <c r="C140" s="14"/>
    </row>
    <row r="141" spans="3:3" x14ac:dyDescent="0.3">
      <c r="C141" s="14"/>
    </row>
    <row r="142" spans="3:3" x14ac:dyDescent="0.3">
      <c r="C142" s="14"/>
    </row>
    <row r="143" spans="3:3" x14ac:dyDescent="0.3">
      <c r="C143" s="14"/>
    </row>
    <row r="144" spans="3:3" x14ac:dyDescent="0.3">
      <c r="C144" s="14"/>
    </row>
    <row r="145" spans="3:3" x14ac:dyDescent="0.3">
      <c r="C145" s="14"/>
    </row>
    <row r="146" spans="3:3" x14ac:dyDescent="0.3">
      <c r="C146" s="14"/>
    </row>
    <row r="147" spans="3:3" x14ac:dyDescent="0.3">
      <c r="C147" s="14"/>
    </row>
    <row r="148" spans="3:3" x14ac:dyDescent="0.3">
      <c r="C148" s="14"/>
    </row>
    <row r="149" spans="3:3" x14ac:dyDescent="0.3">
      <c r="C149" s="14"/>
    </row>
    <row r="150" spans="3:3" x14ac:dyDescent="0.3">
      <c r="C150" s="14"/>
    </row>
    <row r="151" spans="3:3" x14ac:dyDescent="0.3">
      <c r="C151" s="14"/>
    </row>
    <row r="152" spans="3:3" x14ac:dyDescent="0.3">
      <c r="C152" s="14"/>
    </row>
    <row r="153" spans="3:3" x14ac:dyDescent="0.3">
      <c r="C153" s="14"/>
    </row>
    <row r="154" spans="3:3" x14ac:dyDescent="0.3">
      <c r="C154" s="14"/>
    </row>
    <row r="155" spans="3:3" x14ac:dyDescent="0.3">
      <c r="C155" s="14"/>
    </row>
    <row r="156" spans="3:3" x14ac:dyDescent="0.3">
      <c r="C156" s="14"/>
    </row>
    <row r="157" spans="3:3" x14ac:dyDescent="0.3">
      <c r="C157" s="14"/>
    </row>
    <row r="158" spans="3:3" x14ac:dyDescent="0.3">
      <c r="C158" s="14"/>
    </row>
    <row r="159" spans="3:3" x14ac:dyDescent="0.3">
      <c r="C159" s="14"/>
    </row>
    <row r="160" spans="3:3" x14ac:dyDescent="0.3">
      <c r="C160" s="14"/>
    </row>
    <row r="161" spans="3:3" x14ac:dyDescent="0.3">
      <c r="C161" s="14"/>
    </row>
    <row r="162" spans="3:3" x14ac:dyDescent="0.3">
      <c r="C162" s="14"/>
    </row>
    <row r="163" spans="3:3" x14ac:dyDescent="0.3">
      <c r="C163" s="14"/>
    </row>
    <row r="164" spans="3:3" x14ac:dyDescent="0.3">
      <c r="C164" s="14"/>
    </row>
    <row r="165" spans="3:3" x14ac:dyDescent="0.3">
      <c r="C165" s="14"/>
    </row>
    <row r="166" spans="3:3" x14ac:dyDescent="0.3">
      <c r="C166" s="14"/>
    </row>
    <row r="167" spans="3:3" x14ac:dyDescent="0.3">
      <c r="C167" s="14"/>
    </row>
    <row r="168" spans="3:3" x14ac:dyDescent="0.3">
      <c r="C168" s="14"/>
    </row>
    <row r="169" spans="3:3" x14ac:dyDescent="0.3">
      <c r="C169" s="14"/>
    </row>
    <row r="170" spans="3:3" x14ac:dyDescent="0.3">
      <c r="C170" s="14"/>
    </row>
    <row r="171" spans="3:3" x14ac:dyDescent="0.3">
      <c r="C171" s="14"/>
    </row>
    <row r="172" spans="3:3" x14ac:dyDescent="0.3">
      <c r="C172" s="14"/>
    </row>
    <row r="173" spans="3:3" x14ac:dyDescent="0.3">
      <c r="C173" s="14"/>
    </row>
    <row r="174" spans="3:3" x14ac:dyDescent="0.3">
      <c r="C174" s="14"/>
    </row>
    <row r="175" spans="3:3" x14ac:dyDescent="0.3">
      <c r="C175" s="14"/>
    </row>
    <row r="176" spans="3:3" x14ac:dyDescent="0.3">
      <c r="C176" s="14"/>
    </row>
    <row r="177" spans="3:3" x14ac:dyDescent="0.3">
      <c r="C177" s="14"/>
    </row>
    <row r="178" spans="3:3" x14ac:dyDescent="0.3">
      <c r="C178" s="14"/>
    </row>
    <row r="179" spans="3:3" x14ac:dyDescent="0.3">
      <c r="C179" s="14"/>
    </row>
    <row r="180" spans="3:3" x14ac:dyDescent="0.3">
      <c r="C180" s="14"/>
    </row>
    <row r="181" spans="3:3" x14ac:dyDescent="0.3">
      <c r="C181" s="14"/>
    </row>
    <row r="182" spans="3:3" x14ac:dyDescent="0.3">
      <c r="C182" s="14"/>
    </row>
    <row r="183" spans="3:3" x14ac:dyDescent="0.3">
      <c r="C183" s="14"/>
    </row>
    <row r="184" spans="3:3" x14ac:dyDescent="0.3">
      <c r="C184" s="14"/>
    </row>
    <row r="185" spans="3:3" x14ac:dyDescent="0.3">
      <c r="C185" s="14"/>
    </row>
    <row r="186" spans="3:3" x14ac:dyDescent="0.3">
      <c r="C186" s="14"/>
    </row>
    <row r="187" spans="3:3" x14ac:dyDescent="0.3">
      <c r="C187" s="14"/>
    </row>
    <row r="188" spans="3:3" x14ac:dyDescent="0.3">
      <c r="C188" s="14"/>
    </row>
    <row r="189" spans="3:3" x14ac:dyDescent="0.3">
      <c r="C189" s="14"/>
    </row>
    <row r="190" spans="3:3" x14ac:dyDescent="0.3">
      <c r="C190" s="14"/>
    </row>
    <row r="191" spans="3:3" x14ac:dyDescent="0.3">
      <c r="C191" s="14"/>
    </row>
    <row r="192" spans="3:3" x14ac:dyDescent="0.3">
      <c r="C192" s="14"/>
    </row>
    <row r="193" spans="3:3" x14ac:dyDescent="0.3">
      <c r="C193" s="14"/>
    </row>
    <row r="194" spans="3:3" x14ac:dyDescent="0.3">
      <c r="C194" s="14"/>
    </row>
    <row r="195" spans="3:3" x14ac:dyDescent="0.3">
      <c r="C195" s="14"/>
    </row>
    <row r="196" spans="3:3" x14ac:dyDescent="0.3">
      <c r="C196" s="14"/>
    </row>
    <row r="197" spans="3:3" x14ac:dyDescent="0.3">
      <c r="C197" s="14"/>
    </row>
    <row r="198" spans="3:3" x14ac:dyDescent="0.3">
      <c r="C198" s="14"/>
    </row>
    <row r="199" spans="3:3" x14ac:dyDescent="0.3">
      <c r="C199" s="14"/>
    </row>
    <row r="200" spans="3:3" x14ac:dyDescent="0.3">
      <c r="C200" s="14"/>
    </row>
    <row r="201" spans="3:3" x14ac:dyDescent="0.3">
      <c r="C201" s="14"/>
    </row>
    <row r="202" spans="3:3" x14ac:dyDescent="0.3">
      <c r="C202" s="14"/>
    </row>
    <row r="203" spans="3:3" x14ac:dyDescent="0.3">
      <c r="C203" s="14"/>
    </row>
    <row r="204" spans="3:3" x14ac:dyDescent="0.3">
      <c r="C204" s="14"/>
    </row>
    <row r="205" spans="3:3" x14ac:dyDescent="0.3">
      <c r="C205" s="14"/>
    </row>
    <row r="206" spans="3:3" x14ac:dyDescent="0.3">
      <c r="C206" s="14"/>
    </row>
    <row r="207" spans="3:3" x14ac:dyDescent="0.3">
      <c r="C207" s="14"/>
    </row>
    <row r="208" spans="3:3" x14ac:dyDescent="0.3">
      <c r="C208" s="14"/>
    </row>
    <row r="209" spans="3:3" x14ac:dyDescent="0.3">
      <c r="C209" s="14"/>
    </row>
    <row r="210" spans="3:3" x14ac:dyDescent="0.3">
      <c r="C210" s="14"/>
    </row>
    <row r="211" spans="3:3" x14ac:dyDescent="0.3">
      <c r="C211" s="14"/>
    </row>
    <row r="212" spans="3:3" x14ac:dyDescent="0.3">
      <c r="C212" s="14"/>
    </row>
    <row r="213" spans="3:3" x14ac:dyDescent="0.3">
      <c r="C213" s="14"/>
    </row>
    <row r="214" spans="3:3" x14ac:dyDescent="0.3">
      <c r="C214" s="14"/>
    </row>
    <row r="215" spans="3:3" x14ac:dyDescent="0.3">
      <c r="C215" s="14"/>
    </row>
    <row r="216" spans="3:3" x14ac:dyDescent="0.3">
      <c r="C216" s="14"/>
    </row>
    <row r="217" spans="3:3" x14ac:dyDescent="0.3">
      <c r="C217" s="14"/>
    </row>
    <row r="218" spans="3:3" x14ac:dyDescent="0.3">
      <c r="C218" s="14"/>
    </row>
    <row r="219" spans="3:3" x14ac:dyDescent="0.3">
      <c r="C219" s="14"/>
    </row>
    <row r="220" spans="3:3" x14ac:dyDescent="0.3">
      <c r="C220" s="14"/>
    </row>
    <row r="221" spans="3:3" x14ac:dyDescent="0.3">
      <c r="C221" s="14"/>
    </row>
    <row r="222" spans="3:3" x14ac:dyDescent="0.3">
      <c r="C222" s="14"/>
    </row>
    <row r="223" spans="3:3" x14ac:dyDescent="0.3">
      <c r="C223" s="14"/>
    </row>
    <row r="224" spans="3:3" x14ac:dyDescent="0.3">
      <c r="C224" s="14"/>
    </row>
    <row r="225" spans="3:3" x14ac:dyDescent="0.3">
      <c r="C225" s="14"/>
    </row>
    <row r="226" spans="3:3" x14ac:dyDescent="0.3">
      <c r="C226" s="14"/>
    </row>
    <row r="227" spans="3:3" x14ac:dyDescent="0.3">
      <c r="C227" s="14"/>
    </row>
    <row r="228" spans="3:3" x14ac:dyDescent="0.3">
      <c r="C228" s="14"/>
    </row>
    <row r="229" spans="3:3" x14ac:dyDescent="0.3">
      <c r="C229" s="14"/>
    </row>
    <row r="230" spans="3:3" x14ac:dyDescent="0.3">
      <c r="C230" s="14"/>
    </row>
    <row r="231" spans="3:3" x14ac:dyDescent="0.3">
      <c r="C231" s="14"/>
    </row>
    <row r="232" spans="3:3" x14ac:dyDescent="0.3">
      <c r="C232" s="14"/>
    </row>
    <row r="233" spans="3:3" x14ac:dyDescent="0.3">
      <c r="C233" s="14"/>
    </row>
    <row r="234" spans="3:3" x14ac:dyDescent="0.3">
      <c r="C234" s="14"/>
    </row>
    <row r="235" spans="3:3" x14ac:dyDescent="0.3">
      <c r="C235" s="14"/>
    </row>
    <row r="236" spans="3:3" x14ac:dyDescent="0.3">
      <c r="C236" s="14"/>
    </row>
    <row r="237" spans="3:3" x14ac:dyDescent="0.3">
      <c r="C237" s="14"/>
    </row>
    <row r="238" spans="3:3" x14ac:dyDescent="0.3">
      <c r="C238" s="14"/>
    </row>
    <row r="239" spans="3:3" x14ac:dyDescent="0.3">
      <c r="C239" s="14"/>
    </row>
    <row r="240" spans="3:3" x14ac:dyDescent="0.3">
      <c r="C240" s="14"/>
    </row>
    <row r="241" spans="3:3" x14ac:dyDescent="0.3">
      <c r="C241" s="14"/>
    </row>
    <row r="242" spans="3:3" x14ac:dyDescent="0.3">
      <c r="C242" s="14"/>
    </row>
    <row r="243" spans="3:3" x14ac:dyDescent="0.3">
      <c r="C243" s="14"/>
    </row>
    <row r="244" spans="3:3" x14ac:dyDescent="0.3">
      <c r="C244" s="14"/>
    </row>
    <row r="245" spans="3:3" x14ac:dyDescent="0.3">
      <c r="C245" s="14"/>
    </row>
    <row r="246" spans="3:3" x14ac:dyDescent="0.3">
      <c r="C246" s="14"/>
    </row>
    <row r="247" spans="3:3" x14ac:dyDescent="0.3">
      <c r="C247" s="14"/>
    </row>
    <row r="248" spans="3:3" x14ac:dyDescent="0.3">
      <c r="C248" s="14"/>
    </row>
    <row r="249" spans="3:3" x14ac:dyDescent="0.3">
      <c r="C249" s="14"/>
    </row>
    <row r="250" spans="3:3" x14ac:dyDescent="0.3">
      <c r="C250" s="14"/>
    </row>
    <row r="251" spans="3:3" x14ac:dyDescent="0.3">
      <c r="C251" s="14"/>
    </row>
    <row r="252" spans="3:3" x14ac:dyDescent="0.3">
      <c r="C252" s="14"/>
    </row>
    <row r="253" spans="3:3" x14ac:dyDescent="0.3">
      <c r="C253" s="14"/>
    </row>
    <row r="254" spans="3:3" x14ac:dyDescent="0.3">
      <c r="C254" s="14"/>
    </row>
    <row r="255" spans="3:3" x14ac:dyDescent="0.3">
      <c r="C255" s="14"/>
    </row>
    <row r="256" spans="3:3" x14ac:dyDescent="0.3">
      <c r="C256" s="14"/>
    </row>
    <row r="257" spans="3:3" x14ac:dyDescent="0.3">
      <c r="C257" s="14"/>
    </row>
    <row r="258" spans="3:3" x14ac:dyDescent="0.3">
      <c r="C258" s="14"/>
    </row>
    <row r="259" spans="3:3" x14ac:dyDescent="0.3">
      <c r="C259" s="14"/>
    </row>
    <row r="260" spans="3:3" x14ac:dyDescent="0.3">
      <c r="C260" s="14"/>
    </row>
    <row r="261" spans="3:3" x14ac:dyDescent="0.3">
      <c r="C261" s="14"/>
    </row>
    <row r="262" spans="3:3" x14ac:dyDescent="0.3">
      <c r="C262" s="14"/>
    </row>
    <row r="263" spans="3:3" x14ac:dyDescent="0.3">
      <c r="C263" s="14"/>
    </row>
    <row r="264" spans="3:3" x14ac:dyDescent="0.3">
      <c r="C264" s="14"/>
    </row>
    <row r="265" spans="3:3" x14ac:dyDescent="0.3">
      <c r="C265" s="14"/>
    </row>
    <row r="266" spans="3:3" x14ac:dyDescent="0.3">
      <c r="C266" s="14"/>
    </row>
    <row r="267" spans="3:3" x14ac:dyDescent="0.3">
      <c r="C267" s="14"/>
    </row>
    <row r="268" spans="3:3" x14ac:dyDescent="0.3">
      <c r="C268" s="14"/>
    </row>
    <row r="269" spans="3:3" x14ac:dyDescent="0.3">
      <c r="C269" s="14"/>
    </row>
    <row r="270" spans="3:3" x14ac:dyDescent="0.3">
      <c r="C270" s="14"/>
    </row>
    <row r="271" spans="3:3" x14ac:dyDescent="0.3">
      <c r="C271" s="14"/>
    </row>
    <row r="272" spans="3:3" x14ac:dyDescent="0.3">
      <c r="C272" s="14"/>
    </row>
    <row r="273" spans="3:3" x14ac:dyDescent="0.3">
      <c r="C273" s="14"/>
    </row>
    <row r="274" spans="3:3" x14ac:dyDescent="0.3">
      <c r="C274" s="14"/>
    </row>
    <row r="275" spans="3:3" x14ac:dyDescent="0.3">
      <c r="C275" s="14"/>
    </row>
    <row r="276" spans="3:3" x14ac:dyDescent="0.3">
      <c r="C276" s="14"/>
    </row>
    <row r="277" spans="3:3" x14ac:dyDescent="0.3">
      <c r="C277" s="14"/>
    </row>
    <row r="278" spans="3:3" x14ac:dyDescent="0.3">
      <c r="C278" s="14"/>
    </row>
    <row r="279" spans="3:3" x14ac:dyDescent="0.3">
      <c r="C279" s="14"/>
    </row>
    <row r="280" spans="3:3" x14ac:dyDescent="0.3">
      <c r="C280" s="14"/>
    </row>
    <row r="281" spans="3:3" x14ac:dyDescent="0.3">
      <c r="C281" s="14"/>
    </row>
    <row r="282" spans="3:3" x14ac:dyDescent="0.3">
      <c r="C282" s="14"/>
    </row>
    <row r="283" spans="3:3" x14ac:dyDescent="0.3">
      <c r="C283" s="14"/>
    </row>
    <row r="284" spans="3:3" x14ac:dyDescent="0.3">
      <c r="C284" s="14"/>
    </row>
    <row r="285" spans="3:3" x14ac:dyDescent="0.3">
      <c r="C285" s="14"/>
    </row>
    <row r="286" spans="3:3" x14ac:dyDescent="0.3">
      <c r="C286" s="14"/>
    </row>
    <row r="287" spans="3:3" x14ac:dyDescent="0.3">
      <c r="C287" s="14"/>
    </row>
    <row r="288" spans="3:3" x14ac:dyDescent="0.3">
      <c r="C288" s="14"/>
    </row>
    <row r="289" spans="3:3" x14ac:dyDescent="0.3">
      <c r="C289" s="14"/>
    </row>
    <row r="290" spans="3:3" x14ac:dyDescent="0.3">
      <c r="C290" s="14"/>
    </row>
    <row r="291" spans="3:3" x14ac:dyDescent="0.3">
      <c r="C291" s="14"/>
    </row>
    <row r="292" spans="3:3" x14ac:dyDescent="0.3">
      <c r="C292" s="14"/>
    </row>
    <row r="293" spans="3:3" x14ac:dyDescent="0.3">
      <c r="C293" s="14"/>
    </row>
    <row r="294" spans="3:3" x14ac:dyDescent="0.3">
      <c r="C294" s="14"/>
    </row>
    <row r="295" spans="3:3" x14ac:dyDescent="0.3">
      <c r="C295" s="14"/>
    </row>
    <row r="296" spans="3:3" x14ac:dyDescent="0.3">
      <c r="C296" s="14"/>
    </row>
    <row r="297" spans="3:3" x14ac:dyDescent="0.3">
      <c r="C297" s="14"/>
    </row>
    <row r="298" spans="3:3" x14ac:dyDescent="0.3">
      <c r="C298" s="14"/>
    </row>
    <row r="299" spans="3:3" x14ac:dyDescent="0.3">
      <c r="C299" s="14"/>
    </row>
    <row r="300" spans="3:3" x14ac:dyDescent="0.3">
      <c r="C300" s="14"/>
    </row>
    <row r="301" spans="3:3" x14ac:dyDescent="0.3">
      <c r="C301" s="14"/>
    </row>
    <row r="302" spans="3:3" x14ac:dyDescent="0.3">
      <c r="C302" s="14"/>
    </row>
    <row r="303" spans="3:3" x14ac:dyDescent="0.3">
      <c r="C303" s="14"/>
    </row>
    <row r="304" spans="3:3" x14ac:dyDescent="0.3">
      <c r="C304" s="14"/>
    </row>
    <row r="305" spans="3:3" x14ac:dyDescent="0.3">
      <c r="C305" s="14"/>
    </row>
    <row r="306" spans="3:3" x14ac:dyDescent="0.3">
      <c r="C306" s="14"/>
    </row>
    <row r="307" spans="3:3" x14ac:dyDescent="0.3">
      <c r="C307" s="14"/>
    </row>
    <row r="308" spans="3:3" x14ac:dyDescent="0.3">
      <c r="C308" s="14"/>
    </row>
    <row r="309" spans="3:3" x14ac:dyDescent="0.3">
      <c r="C309" s="14"/>
    </row>
    <row r="310" spans="3:3" x14ac:dyDescent="0.3">
      <c r="C310" s="14"/>
    </row>
    <row r="311" spans="3:3" x14ac:dyDescent="0.3">
      <c r="C311" s="14"/>
    </row>
    <row r="312" spans="3:3" x14ac:dyDescent="0.3">
      <c r="C312" s="14"/>
    </row>
    <row r="313" spans="3:3" x14ac:dyDescent="0.3">
      <c r="C313" s="14"/>
    </row>
    <row r="314" spans="3:3" x14ac:dyDescent="0.3">
      <c r="C314" s="14"/>
    </row>
    <row r="315" spans="3:3" x14ac:dyDescent="0.3">
      <c r="C315" s="14"/>
    </row>
    <row r="316" spans="3:3" x14ac:dyDescent="0.3">
      <c r="C316" s="14"/>
    </row>
    <row r="317" spans="3:3" x14ac:dyDescent="0.3">
      <c r="C317" s="14"/>
    </row>
    <row r="318" spans="3:3" x14ac:dyDescent="0.3">
      <c r="C318" s="14"/>
    </row>
    <row r="319" spans="3:3" x14ac:dyDescent="0.3">
      <c r="C319" s="14"/>
    </row>
    <row r="320" spans="3:3" x14ac:dyDescent="0.3">
      <c r="C320" s="14"/>
    </row>
    <row r="321" spans="3:3" x14ac:dyDescent="0.3">
      <c r="C321" s="14"/>
    </row>
    <row r="322" spans="3:3" x14ac:dyDescent="0.3">
      <c r="C322" s="14"/>
    </row>
    <row r="323" spans="3:3" x14ac:dyDescent="0.3">
      <c r="C323" s="14"/>
    </row>
    <row r="324" spans="3:3" x14ac:dyDescent="0.3">
      <c r="C324" s="14"/>
    </row>
    <row r="325" spans="3:3" x14ac:dyDescent="0.3">
      <c r="C325" s="14"/>
    </row>
    <row r="326" spans="3:3" x14ac:dyDescent="0.3">
      <c r="C326" s="14"/>
    </row>
    <row r="327" spans="3:3" x14ac:dyDescent="0.3">
      <c r="C327" s="14"/>
    </row>
    <row r="328" spans="3:3" x14ac:dyDescent="0.3">
      <c r="C328" s="14"/>
    </row>
    <row r="329" spans="3:3" x14ac:dyDescent="0.3">
      <c r="C329" s="14"/>
    </row>
    <row r="330" spans="3:3" x14ac:dyDescent="0.3">
      <c r="C330" s="14"/>
    </row>
    <row r="331" spans="3:3" x14ac:dyDescent="0.3">
      <c r="C331" s="14"/>
    </row>
    <row r="332" spans="3:3" x14ac:dyDescent="0.3">
      <c r="C332" s="14"/>
    </row>
    <row r="333" spans="3:3" x14ac:dyDescent="0.3">
      <c r="C333" s="14"/>
    </row>
    <row r="334" spans="3:3" x14ac:dyDescent="0.3">
      <c r="C334" s="14"/>
    </row>
    <row r="335" spans="3:3" x14ac:dyDescent="0.3">
      <c r="C335" s="14"/>
    </row>
    <row r="336" spans="3:3" x14ac:dyDescent="0.3">
      <c r="C336" s="14"/>
    </row>
    <row r="337" spans="3:3" x14ac:dyDescent="0.3">
      <c r="C337" s="14"/>
    </row>
    <row r="338" spans="3:3" x14ac:dyDescent="0.3">
      <c r="C338" s="14"/>
    </row>
    <row r="339" spans="3:3" x14ac:dyDescent="0.3">
      <c r="C339" s="14"/>
    </row>
    <row r="340" spans="3:3" x14ac:dyDescent="0.3">
      <c r="C340" s="14"/>
    </row>
    <row r="341" spans="3:3" x14ac:dyDescent="0.3">
      <c r="C341" s="14"/>
    </row>
    <row r="342" spans="3:3" x14ac:dyDescent="0.3">
      <c r="C342" s="14"/>
    </row>
    <row r="343" spans="3:3" x14ac:dyDescent="0.3">
      <c r="C343" s="14"/>
    </row>
    <row r="344" spans="3:3" x14ac:dyDescent="0.3">
      <c r="C344" s="14"/>
    </row>
    <row r="345" spans="3:3" x14ac:dyDescent="0.3">
      <c r="C345" s="14"/>
    </row>
    <row r="346" spans="3:3" x14ac:dyDescent="0.3">
      <c r="C346" s="14"/>
    </row>
    <row r="347" spans="3:3" x14ac:dyDescent="0.3">
      <c r="C347" s="14"/>
    </row>
    <row r="348" spans="3:3" x14ac:dyDescent="0.3">
      <c r="C348" s="14"/>
    </row>
    <row r="349" spans="3:3" x14ac:dyDescent="0.3">
      <c r="C349" s="14"/>
    </row>
    <row r="350" spans="3:3" x14ac:dyDescent="0.3">
      <c r="C350" s="14"/>
    </row>
    <row r="351" spans="3:3" x14ac:dyDescent="0.3">
      <c r="C351" s="14"/>
    </row>
    <row r="352" spans="3:3" x14ac:dyDescent="0.3">
      <c r="C352" s="14"/>
    </row>
    <row r="353" spans="3:3" x14ac:dyDescent="0.3">
      <c r="C353" s="14"/>
    </row>
    <row r="354" spans="3:3" x14ac:dyDescent="0.3">
      <c r="C354" s="14"/>
    </row>
    <row r="355" spans="3:3" x14ac:dyDescent="0.3">
      <c r="C355" s="14"/>
    </row>
    <row r="356" spans="3:3" x14ac:dyDescent="0.3">
      <c r="C356" s="14"/>
    </row>
    <row r="357" spans="3:3" x14ac:dyDescent="0.3">
      <c r="C357" s="14"/>
    </row>
    <row r="358" spans="3:3" x14ac:dyDescent="0.3">
      <c r="C358" s="14"/>
    </row>
    <row r="359" spans="3:3" x14ac:dyDescent="0.3">
      <c r="C359" s="14"/>
    </row>
    <row r="360" spans="3:3" x14ac:dyDescent="0.3">
      <c r="C360" s="14"/>
    </row>
    <row r="361" spans="3:3" x14ac:dyDescent="0.3">
      <c r="C361" s="14"/>
    </row>
    <row r="362" spans="3:3" x14ac:dyDescent="0.3">
      <c r="C362" s="14"/>
    </row>
    <row r="363" spans="3:3" x14ac:dyDescent="0.3">
      <c r="C363" s="14"/>
    </row>
    <row r="364" spans="3:3" x14ac:dyDescent="0.3">
      <c r="C364" s="14"/>
    </row>
    <row r="365" spans="3:3" x14ac:dyDescent="0.3">
      <c r="C365" s="14"/>
    </row>
    <row r="366" spans="3:3" x14ac:dyDescent="0.3">
      <c r="C366" s="14"/>
    </row>
    <row r="367" spans="3:3" x14ac:dyDescent="0.3">
      <c r="C367" s="14"/>
    </row>
    <row r="368" spans="3:3" x14ac:dyDescent="0.3">
      <c r="C368" s="14"/>
    </row>
    <row r="369" spans="3:3" x14ac:dyDescent="0.3">
      <c r="C369" s="14"/>
    </row>
    <row r="370" spans="3:3" x14ac:dyDescent="0.3">
      <c r="C370" s="14"/>
    </row>
    <row r="371" spans="3:3" x14ac:dyDescent="0.3">
      <c r="C371" s="14"/>
    </row>
    <row r="372" spans="3:3" x14ac:dyDescent="0.3">
      <c r="C372" s="14"/>
    </row>
    <row r="373" spans="3:3" x14ac:dyDescent="0.3">
      <c r="C373" s="14"/>
    </row>
    <row r="374" spans="3:3" x14ac:dyDescent="0.3">
      <c r="C374" s="14"/>
    </row>
    <row r="375" spans="3:3" x14ac:dyDescent="0.3">
      <c r="C375" s="14"/>
    </row>
    <row r="376" spans="3:3" x14ac:dyDescent="0.3">
      <c r="C376" s="14"/>
    </row>
    <row r="377" spans="3:3" x14ac:dyDescent="0.3">
      <c r="C377" s="14"/>
    </row>
    <row r="378" spans="3:3" x14ac:dyDescent="0.3">
      <c r="C378" s="14"/>
    </row>
    <row r="379" spans="3:3" x14ac:dyDescent="0.3">
      <c r="C379" s="14"/>
    </row>
    <row r="380" spans="3:3" x14ac:dyDescent="0.3">
      <c r="C380" s="14"/>
    </row>
    <row r="381" spans="3:3" x14ac:dyDescent="0.3">
      <c r="C381" s="14"/>
    </row>
    <row r="382" spans="3:3" x14ac:dyDescent="0.3">
      <c r="C382" s="14"/>
    </row>
    <row r="383" spans="3:3" x14ac:dyDescent="0.3">
      <c r="C383" s="14"/>
    </row>
    <row r="384" spans="3:3" x14ac:dyDescent="0.3">
      <c r="C384" s="14"/>
    </row>
    <row r="385" spans="3:3" x14ac:dyDescent="0.3">
      <c r="C385" s="14"/>
    </row>
    <row r="386" spans="3:3" x14ac:dyDescent="0.3">
      <c r="C386" s="14"/>
    </row>
    <row r="387" spans="3:3" x14ac:dyDescent="0.3">
      <c r="C387" s="14"/>
    </row>
    <row r="388" spans="3:3" x14ac:dyDescent="0.3">
      <c r="C388" s="14"/>
    </row>
    <row r="389" spans="3:3" x14ac:dyDescent="0.3">
      <c r="C389" s="14"/>
    </row>
    <row r="390" spans="3:3" x14ac:dyDescent="0.3">
      <c r="C390" s="14"/>
    </row>
    <row r="391" spans="3:3" x14ac:dyDescent="0.3">
      <c r="C391" s="14"/>
    </row>
    <row r="392" spans="3:3" x14ac:dyDescent="0.3">
      <c r="C392" s="14"/>
    </row>
    <row r="393" spans="3:3" x14ac:dyDescent="0.3">
      <c r="C393" s="14"/>
    </row>
    <row r="394" spans="3:3" x14ac:dyDescent="0.3">
      <c r="C394" s="14"/>
    </row>
    <row r="395" spans="3:3" x14ac:dyDescent="0.3">
      <c r="C395" s="14"/>
    </row>
    <row r="396" spans="3:3" x14ac:dyDescent="0.3">
      <c r="C396" s="14"/>
    </row>
    <row r="397" spans="3:3" x14ac:dyDescent="0.3">
      <c r="C397" s="14"/>
    </row>
    <row r="398" spans="3:3" x14ac:dyDescent="0.3">
      <c r="C398" s="14"/>
    </row>
    <row r="399" spans="3:3" x14ac:dyDescent="0.3">
      <c r="C399" s="14"/>
    </row>
    <row r="400" spans="3:3" x14ac:dyDescent="0.3">
      <c r="C400" s="14"/>
    </row>
    <row r="401" spans="3:3" x14ac:dyDescent="0.3">
      <c r="C401" s="14"/>
    </row>
    <row r="402" spans="3:3" x14ac:dyDescent="0.3">
      <c r="C402" s="14"/>
    </row>
    <row r="403" spans="3:3" x14ac:dyDescent="0.3">
      <c r="C403" s="14"/>
    </row>
    <row r="404" spans="3:3" x14ac:dyDescent="0.3">
      <c r="C404" s="14"/>
    </row>
    <row r="405" spans="3:3" x14ac:dyDescent="0.3">
      <c r="C405" s="14"/>
    </row>
    <row r="406" spans="3:3" x14ac:dyDescent="0.3">
      <c r="C406" s="14"/>
    </row>
    <row r="407" spans="3:3" x14ac:dyDescent="0.3">
      <c r="C407" s="14"/>
    </row>
    <row r="408" spans="3:3" x14ac:dyDescent="0.3">
      <c r="C408" s="14"/>
    </row>
    <row r="409" spans="3:3" x14ac:dyDescent="0.3">
      <c r="C409" s="14"/>
    </row>
    <row r="410" spans="3:3" x14ac:dyDescent="0.3">
      <c r="C410" s="14"/>
    </row>
    <row r="411" spans="3:3" x14ac:dyDescent="0.3">
      <c r="C411" s="14"/>
    </row>
    <row r="412" spans="3:3" x14ac:dyDescent="0.3">
      <c r="C412" s="14"/>
    </row>
    <row r="413" spans="3:3" x14ac:dyDescent="0.3">
      <c r="C413" s="14"/>
    </row>
    <row r="414" spans="3:3" x14ac:dyDescent="0.3">
      <c r="C414" s="14"/>
    </row>
    <row r="415" spans="3:3" x14ac:dyDescent="0.3">
      <c r="C415" s="14"/>
    </row>
    <row r="416" spans="3:3" x14ac:dyDescent="0.3">
      <c r="C416" s="14"/>
    </row>
    <row r="417" spans="3:3" x14ac:dyDescent="0.3">
      <c r="C417" s="14"/>
    </row>
    <row r="418" spans="3:3" x14ac:dyDescent="0.3">
      <c r="C418" s="14"/>
    </row>
    <row r="419" spans="3:3" x14ac:dyDescent="0.3">
      <c r="C419" s="14"/>
    </row>
    <row r="420" spans="3:3" x14ac:dyDescent="0.3">
      <c r="C420" s="14"/>
    </row>
    <row r="421" spans="3:3" x14ac:dyDescent="0.3">
      <c r="C421" s="14"/>
    </row>
    <row r="422" spans="3:3" x14ac:dyDescent="0.3">
      <c r="C422" s="14"/>
    </row>
    <row r="423" spans="3:3" x14ac:dyDescent="0.3">
      <c r="C423" s="14"/>
    </row>
    <row r="424" spans="3:3" x14ac:dyDescent="0.3">
      <c r="C424" s="14"/>
    </row>
    <row r="425" spans="3:3" x14ac:dyDescent="0.3">
      <c r="C425" s="14"/>
    </row>
    <row r="426" spans="3:3" x14ac:dyDescent="0.3">
      <c r="C426" s="14"/>
    </row>
    <row r="427" spans="3:3" x14ac:dyDescent="0.3">
      <c r="C427" s="14"/>
    </row>
    <row r="428" spans="3:3" x14ac:dyDescent="0.3">
      <c r="C428" s="14"/>
    </row>
    <row r="429" spans="3:3" x14ac:dyDescent="0.3">
      <c r="C429" s="14"/>
    </row>
    <row r="430" spans="3:3" x14ac:dyDescent="0.3">
      <c r="C430" s="14"/>
    </row>
    <row r="431" spans="3:3" x14ac:dyDescent="0.3">
      <c r="C431" s="14"/>
    </row>
    <row r="432" spans="3:3" x14ac:dyDescent="0.3">
      <c r="C432" s="14"/>
    </row>
    <row r="433" spans="3:3" x14ac:dyDescent="0.3">
      <c r="C433" s="14"/>
    </row>
    <row r="434" spans="3:3" x14ac:dyDescent="0.3">
      <c r="C434" s="14"/>
    </row>
    <row r="435" spans="3:3" x14ac:dyDescent="0.3">
      <c r="C435" s="14"/>
    </row>
    <row r="436" spans="3:3" x14ac:dyDescent="0.3">
      <c r="C436" s="14"/>
    </row>
    <row r="437" spans="3:3" x14ac:dyDescent="0.3">
      <c r="C437" s="14"/>
    </row>
    <row r="438" spans="3:3" x14ac:dyDescent="0.3">
      <c r="C438" s="14"/>
    </row>
    <row r="439" spans="3:3" x14ac:dyDescent="0.3">
      <c r="C439" s="14"/>
    </row>
    <row r="440" spans="3:3" x14ac:dyDescent="0.3">
      <c r="C440" s="14"/>
    </row>
    <row r="441" spans="3:3" x14ac:dyDescent="0.3">
      <c r="C441" s="14"/>
    </row>
    <row r="442" spans="3:3" x14ac:dyDescent="0.3">
      <c r="C442" s="14"/>
    </row>
    <row r="443" spans="3:3" x14ac:dyDescent="0.3">
      <c r="C443" s="14"/>
    </row>
    <row r="444" spans="3:3" x14ac:dyDescent="0.3">
      <c r="C444" s="14"/>
    </row>
    <row r="445" spans="3:3" x14ac:dyDescent="0.3">
      <c r="C445" s="14"/>
    </row>
    <row r="446" spans="3:3" x14ac:dyDescent="0.3">
      <c r="C446" s="14"/>
    </row>
    <row r="447" spans="3:3" x14ac:dyDescent="0.3">
      <c r="C447" s="14"/>
    </row>
    <row r="448" spans="3:3" x14ac:dyDescent="0.3">
      <c r="C448" s="14"/>
    </row>
    <row r="449" spans="3:3" x14ac:dyDescent="0.3">
      <c r="C449" s="14"/>
    </row>
    <row r="450" spans="3:3" x14ac:dyDescent="0.3">
      <c r="C450" s="14"/>
    </row>
    <row r="451" spans="3:3" x14ac:dyDescent="0.3">
      <c r="C451" s="14"/>
    </row>
    <row r="452" spans="3:3" x14ac:dyDescent="0.3">
      <c r="C452" s="14"/>
    </row>
    <row r="453" spans="3:3" x14ac:dyDescent="0.3">
      <c r="C453" s="14"/>
    </row>
    <row r="454" spans="3:3" x14ac:dyDescent="0.3">
      <c r="C454" s="14"/>
    </row>
    <row r="455" spans="3:3" x14ac:dyDescent="0.3">
      <c r="C455" s="14"/>
    </row>
    <row r="456" spans="3:3" x14ac:dyDescent="0.3">
      <c r="C456" s="14"/>
    </row>
    <row r="457" spans="3:3" x14ac:dyDescent="0.3">
      <c r="C457" s="14"/>
    </row>
    <row r="458" spans="3:3" x14ac:dyDescent="0.3">
      <c r="C458" s="14"/>
    </row>
    <row r="459" spans="3:3" x14ac:dyDescent="0.3">
      <c r="C459" s="14"/>
    </row>
    <row r="460" spans="3:3" x14ac:dyDescent="0.3">
      <c r="C460" s="14"/>
    </row>
    <row r="461" spans="3:3" x14ac:dyDescent="0.3">
      <c r="C461" s="14"/>
    </row>
    <row r="462" spans="3:3" x14ac:dyDescent="0.3">
      <c r="C462" s="14"/>
    </row>
    <row r="463" spans="3:3" x14ac:dyDescent="0.3">
      <c r="C463" s="14"/>
    </row>
    <row r="464" spans="3:3" x14ac:dyDescent="0.3">
      <c r="C464" s="14"/>
    </row>
    <row r="465" spans="3:3" x14ac:dyDescent="0.3">
      <c r="C465" s="14"/>
    </row>
    <row r="466" spans="3:3" x14ac:dyDescent="0.3">
      <c r="C466" s="14"/>
    </row>
    <row r="467" spans="3:3" x14ac:dyDescent="0.3">
      <c r="C467" s="14"/>
    </row>
    <row r="468" spans="3:3" x14ac:dyDescent="0.3">
      <c r="C468" s="14"/>
    </row>
    <row r="469" spans="3:3" x14ac:dyDescent="0.3">
      <c r="C469" s="14"/>
    </row>
    <row r="470" spans="3:3" x14ac:dyDescent="0.3">
      <c r="C470" s="14"/>
    </row>
    <row r="471" spans="3:3" x14ac:dyDescent="0.3">
      <c r="C471" s="14"/>
    </row>
    <row r="472" spans="3:3" x14ac:dyDescent="0.3">
      <c r="C472" s="14"/>
    </row>
    <row r="473" spans="3:3" x14ac:dyDescent="0.3">
      <c r="C473" s="14"/>
    </row>
    <row r="474" spans="3:3" x14ac:dyDescent="0.3">
      <c r="C474" s="14"/>
    </row>
    <row r="475" spans="3:3" x14ac:dyDescent="0.3">
      <c r="C475" s="14"/>
    </row>
    <row r="476" spans="3:3" x14ac:dyDescent="0.3">
      <c r="C476" s="14"/>
    </row>
    <row r="477" spans="3:3" x14ac:dyDescent="0.3">
      <c r="C477" s="14"/>
    </row>
    <row r="478" spans="3:3" x14ac:dyDescent="0.3">
      <c r="C478" s="14"/>
    </row>
    <row r="479" spans="3:3" x14ac:dyDescent="0.3">
      <c r="C479" s="14"/>
    </row>
    <row r="480" spans="3:3" x14ac:dyDescent="0.3">
      <c r="C480" s="14"/>
    </row>
    <row r="481" spans="3:3" x14ac:dyDescent="0.3">
      <c r="C481" s="14"/>
    </row>
    <row r="482" spans="3:3" x14ac:dyDescent="0.3">
      <c r="C482" s="14"/>
    </row>
    <row r="483" spans="3:3" x14ac:dyDescent="0.3">
      <c r="C483" s="14"/>
    </row>
    <row r="484" spans="3:3" x14ac:dyDescent="0.3">
      <c r="C484" s="14"/>
    </row>
    <row r="485" spans="3:3" x14ac:dyDescent="0.3">
      <c r="C485" s="14"/>
    </row>
    <row r="486" spans="3:3" x14ac:dyDescent="0.3">
      <c r="C486" s="14"/>
    </row>
    <row r="487" spans="3:3" x14ac:dyDescent="0.3">
      <c r="C487" s="14"/>
    </row>
    <row r="488" spans="3:3" x14ac:dyDescent="0.3">
      <c r="C488" s="14"/>
    </row>
    <row r="489" spans="3:3" x14ac:dyDescent="0.3">
      <c r="C489" s="14"/>
    </row>
    <row r="490" spans="3:3" x14ac:dyDescent="0.3">
      <c r="C490" s="14"/>
    </row>
    <row r="491" spans="3:3" x14ac:dyDescent="0.3">
      <c r="C491" s="14"/>
    </row>
    <row r="492" spans="3:3" x14ac:dyDescent="0.3">
      <c r="C492" s="14"/>
    </row>
    <row r="493" spans="3:3" x14ac:dyDescent="0.3">
      <c r="C493" s="14"/>
    </row>
    <row r="494" spans="3:3" x14ac:dyDescent="0.3">
      <c r="C494" s="14"/>
    </row>
    <row r="495" spans="3:3" x14ac:dyDescent="0.3">
      <c r="C495" s="14"/>
    </row>
    <row r="496" spans="3:3" x14ac:dyDescent="0.3">
      <c r="C496" s="14"/>
    </row>
    <row r="497" spans="3:3" x14ac:dyDescent="0.3">
      <c r="C497" s="14"/>
    </row>
    <row r="498" spans="3:3" x14ac:dyDescent="0.3">
      <c r="C498" s="14"/>
    </row>
    <row r="499" spans="3:3" x14ac:dyDescent="0.3">
      <c r="C499" s="14"/>
    </row>
    <row r="500" spans="3:3" x14ac:dyDescent="0.3">
      <c r="C500" s="14"/>
    </row>
    <row r="501" spans="3:3" x14ac:dyDescent="0.3">
      <c r="C501" s="14"/>
    </row>
    <row r="502" spans="3:3" x14ac:dyDescent="0.3">
      <c r="C502" s="14"/>
    </row>
    <row r="503" spans="3:3" x14ac:dyDescent="0.3">
      <c r="C503" s="14"/>
    </row>
    <row r="504" spans="3:3" x14ac:dyDescent="0.3">
      <c r="C504" s="14"/>
    </row>
    <row r="505" spans="3:3" x14ac:dyDescent="0.3">
      <c r="C505" s="14"/>
    </row>
    <row r="506" spans="3:3" x14ac:dyDescent="0.3">
      <c r="C506" s="14"/>
    </row>
    <row r="507" spans="3:3" x14ac:dyDescent="0.3">
      <c r="C507" s="14"/>
    </row>
    <row r="508" spans="3:3" x14ac:dyDescent="0.3">
      <c r="C508" s="14"/>
    </row>
    <row r="509" spans="3:3" x14ac:dyDescent="0.3">
      <c r="C509" s="14"/>
    </row>
    <row r="510" spans="3:3" x14ac:dyDescent="0.3">
      <c r="C510" s="14"/>
    </row>
    <row r="511" spans="3:3" x14ac:dyDescent="0.3">
      <c r="C511" s="14"/>
    </row>
    <row r="512" spans="3:3" x14ac:dyDescent="0.3">
      <c r="C512" s="14"/>
    </row>
    <row r="513" spans="3:3" x14ac:dyDescent="0.3">
      <c r="C513" s="14"/>
    </row>
    <row r="514" spans="3:3" x14ac:dyDescent="0.3">
      <c r="C514" s="14"/>
    </row>
    <row r="515" spans="3:3" x14ac:dyDescent="0.3">
      <c r="C515" s="14"/>
    </row>
    <row r="516" spans="3:3" x14ac:dyDescent="0.3">
      <c r="C516" s="14"/>
    </row>
    <row r="517" spans="3:3" x14ac:dyDescent="0.3">
      <c r="C517" s="14"/>
    </row>
    <row r="518" spans="3:3" x14ac:dyDescent="0.3">
      <c r="C518" s="14"/>
    </row>
    <row r="519" spans="3:3" x14ac:dyDescent="0.3">
      <c r="C519" s="14"/>
    </row>
    <row r="520" spans="3:3" x14ac:dyDescent="0.3">
      <c r="C520" s="14"/>
    </row>
    <row r="521" spans="3:3" x14ac:dyDescent="0.3">
      <c r="C521" s="14"/>
    </row>
    <row r="522" spans="3:3" x14ac:dyDescent="0.3">
      <c r="C522" s="14"/>
    </row>
    <row r="523" spans="3:3" x14ac:dyDescent="0.3">
      <c r="C523" s="14"/>
    </row>
    <row r="524" spans="3:3" x14ac:dyDescent="0.3">
      <c r="C524" s="14"/>
    </row>
    <row r="525" spans="3:3" x14ac:dyDescent="0.3">
      <c r="C525" s="14"/>
    </row>
    <row r="526" spans="3:3" x14ac:dyDescent="0.3">
      <c r="C526" s="14"/>
    </row>
    <row r="527" spans="3:3" x14ac:dyDescent="0.3">
      <c r="C527" s="14"/>
    </row>
    <row r="528" spans="3:3" x14ac:dyDescent="0.3">
      <c r="C528" s="14"/>
    </row>
    <row r="529" spans="3:3" x14ac:dyDescent="0.3">
      <c r="C529" s="14"/>
    </row>
    <row r="530" spans="3:3" x14ac:dyDescent="0.3">
      <c r="C530" s="14"/>
    </row>
    <row r="531" spans="3:3" x14ac:dyDescent="0.3">
      <c r="C531" s="14"/>
    </row>
    <row r="532" spans="3:3" x14ac:dyDescent="0.3">
      <c r="C532" s="14"/>
    </row>
    <row r="533" spans="3:3" x14ac:dyDescent="0.3">
      <c r="C533" s="14"/>
    </row>
    <row r="534" spans="3:3" x14ac:dyDescent="0.3">
      <c r="C534" s="14"/>
    </row>
    <row r="535" spans="3:3" x14ac:dyDescent="0.3">
      <c r="C535" s="14"/>
    </row>
    <row r="536" spans="3:3" x14ac:dyDescent="0.3">
      <c r="C536" s="14"/>
    </row>
    <row r="537" spans="3:3" x14ac:dyDescent="0.3">
      <c r="C537" s="14"/>
    </row>
    <row r="538" spans="3:3" x14ac:dyDescent="0.3">
      <c r="C538" s="14"/>
    </row>
    <row r="539" spans="3:3" x14ac:dyDescent="0.3">
      <c r="C539" s="14"/>
    </row>
    <row r="540" spans="3:3" x14ac:dyDescent="0.3">
      <c r="C540" s="14"/>
    </row>
    <row r="541" spans="3:3" x14ac:dyDescent="0.3">
      <c r="C541" s="14"/>
    </row>
    <row r="542" spans="3:3" x14ac:dyDescent="0.3">
      <c r="C542" s="14"/>
    </row>
    <row r="543" spans="3:3" x14ac:dyDescent="0.3">
      <c r="C543" s="14"/>
    </row>
    <row r="544" spans="3:3" x14ac:dyDescent="0.3">
      <c r="C544" s="14"/>
    </row>
    <row r="545" spans="3:3" x14ac:dyDescent="0.3">
      <c r="C545" s="14"/>
    </row>
    <row r="546" spans="3:3" x14ac:dyDescent="0.3">
      <c r="C546" s="14"/>
    </row>
    <row r="547" spans="3:3" x14ac:dyDescent="0.3">
      <c r="C547" s="14"/>
    </row>
    <row r="548" spans="3:3" x14ac:dyDescent="0.3">
      <c r="C548" s="14"/>
    </row>
    <row r="549" spans="3:3" x14ac:dyDescent="0.3">
      <c r="C549" s="14"/>
    </row>
    <row r="550" spans="3:3" x14ac:dyDescent="0.3">
      <c r="C550" s="14"/>
    </row>
    <row r="551" spans="3:3" x14ac:dyDescent="0.3">
      <c r="C551" s="14"/>
    </row>
    <row r="552" spans="3:3" x14ac:dyDescent="0.3">
      <c r="C552" s="14"/>
    </row>
    <row r="553" spans="3:3" x14ac:dyDescent="0.3">
      <c r="C553" s="14"/>
    </row>
    <row r="554" spans="3:3" x14ac:dyDescent="0.3">
      <c r="C554" s="14"/>
    </row>
    <row r="555" spans="3:3" x14ac:dyDescent="0.3">
      <c r="C555" s="14"/>
    </row>
    <row r="556" spans="3:3" x14ac:dyDescent="0.3">
      <c r="C556" s="14"/>
    </row>
    <row r="557" spans="3:3" x14ac:dyDescent="0.3">
      <c r="C557" s="14"/>
    </row>
    <row r="558" spans="3:3" x14ac:dyDescent="0.3">
      <c r="C558" s="14"/>
    </row>
    <row r="559" spans="3:3" x14ac:dyDescent="0.3">
      <c r="C559" s="14"/>
    </row>
    <row r="560" spans="3:3" x14ac:dyDescent="0.3">
      <c r="C560" s="14"/>
    </row>
    <row r="561" spans="3:3" x14ac:dyDescent="0.3">
      <c r="C561" s="14"/>
    </row>
    <row r="562" spans="3:3" x14ac:dyDescent="0.3">
      <c r="C562" s="14"/>
    </row>
    <row r="563" spans="3:3" x14ac:dyDescent="0.3">
      <c r="C563" s="14"/>
    </row>
    <row r="564" spans="3:3" x14ac:dyDescent="0.3">
      <c r="C564" s="14"/>
    </row>
    <row r="565" spans="3:3" x14ac:dyDescent="0.3">
      <c r="C565" s="14"/>
    </row>
    <row r="566" spans="3:3" x14ac:dyDescent="0.3">
      <c r="C566" s="14"/>
    </row>
    <row r="567" spans="3:3" x14ac:dyDescent="0.3">
      <c r="C567" s="14"/>
    </row>
    <row r="568" spans="3:3" x14ac:dyDescent="0.3">
      <c r="C568" s="14"/>
    </row>
    <row r="569" spans="3:3" x14ac:dyDescent="0.3">
      <c r="C569" s="14"/>
    </row>
    <row r="570" spans="3:3" x14ac:dyDescent="0.3">
      <c r="C570" s="14"/>
    </row>
    <row r="571" spans="3:3" x14ac:dyDescent="0.3">
      <c r="C571" s="14"/>
    </row>
    <row r="572" spans="3:3" x14ac:dyDescent="0.3">
      <c r="C572" s="14"/>
    </row>
    <row r="573" spans="3:3" x14ac:dyDescent="0.3">
      <c r="C573" s="14"/>
    </row>
    <row r="574" spans="3:3" x14ac:dyDescent="0.3">
      <c r="C574" s="14"/>
    </row>
    <row r="575" spans="3:3" x14ac:dyDescent="0.3">
      <c r="C575" s="14"/>
    </row>
    <row r="576" spans="3:3" x14ac:dyDescent="0.3">
      <c r="C576" s="14"/>
    </row>
    <row r="577" spans="3:3" x14ac:dyDescent="0.3">
      <c r="C577" s="14"/>
    </row>
    <row r="578" spans="3:3" x14ac:dyDescent="0.3">
      <c r="C578" s="14"/>
    </row>
    <row r="579" spans="3:3" x14ac:dyDescent="0.3">
      <c r="C579" s="14"/>
    </row>
    <row r="580" spans="3:3" x14ac:dyDescent="0.3">
      <c r="C580" s="14"/>
    </row>
    <row r="581" spans="3:3" x14ac:dyDescent="0.3">
      <c r="C581" s="14"/>
    </row>
    <row r="582" spans="3:3" x14ac:dyDescent="0.3">
      <c r="C582" s="14"/>
    </row>
    <row r="583" spans="3:3" x14ac:dyDescent="0.3">
      <c r="C583" s="14"/>
    </row>
    <row r="584" spans="3:3" x14ac:dyDescent="0.3">
      <c r="C584" s="14"/>
    </row>
    <row r="585" spans="3:3" x14ac:dyDescent="0.3">
      <c r="C585" s="14"/>
    </row>
    <row r="586" spans="3:3" x14ac:dyDescent="0.3">
      <c r="C586" s="14"/>
    </row>
    <row r="587" spans="3:3" x14ac:dyDescent="0.3">
      <c r="C587" s="14"/>
    </row>
    <row r="588" spans="3:3" x14ac:dyDescent="0.3">
      <c r="C588" s="14"/>
    </row>
    <row r="589" spans="3:3" x14ac:dyDescent="0.3">
      <c r="C589" s="14"/>
    </row>
    <row r="590" spans="3:3" x14ac:dyDescent="0.3">
      <c r="C590" s="14"/>
    </row>
    <row r="591" spans="3:3" x14ac:dyDescent="0.3">
      <c r="C591" s="14"/>
    </row>
    <row r="592" spans="3:3" x14ac:dyDescent="0.3">
      <c r="C592" s="14"/>
    </row>
    <row r="593" spans="3:3" x14ac:dyDescent="0.3">
      <c r="C593" s="14"/>
    </row>
    <row r="594" spans="3:3" x14ac:dyDescent="0.3">
      <c r="C594" s="14"/>
    </row>
    <row r="595" spans="3:3" x14ac:dyDescent="0.3">
      <c r="C595" s="14"/>
    </row>
    <row r="596" spans="3:3" x14ac:dyDescent="0.3">
      <c r="C596" s="14"/>
    </row>
    <row r="597" spans="3:3" x14ac:dyDescent="0.3">
      <c r="C597" s="14"/>
    </row>
    <row r="598" spans="3:3" x14ac:dyDescent="0.3">
      <c r="C598" s="14"/>
    </row>
    <row r="599" spans="3:3" x14ac:dyDescent="0.3">
      <c r="C599" s="14"/>
    </row>
    <row r="600" spans="3:3" x14ac:dyDescent="0.3">
      <c r="C600" s="14"/>
    </row>
    <row r="601" spans="3:3" x14ac:dyDescent="0.3">
      <c r="C601" s="14"/>
    </row>
    <row r="602" spans="3:3" x14ac:dyDescent="0.3">
      <c r="C602" s="14"/>
    </row>
    <row r="603" spans="3:3" x14ac:dyDescent="0.3">
      <c r="C603" s="14"/>
    </row>
    <row r="604" spans="3:3" x14ac:dyDescent="0.3">
      <c r="C604" s="14"/>
    </row>
    <row r="605" spans="3:3" x14ac:dyDescent="0.3">
      <c r="C605" s="14"/>
    </row>
    <row r="606" spans="3:3" x14ac:dyDescent="0.3">
      <c r="C606" s="14"/>
    </row>
    <row r="607" spans="3:3" x14ac:dyDescent="0.3">
      <c r="C607" s="14"/>
    </row>
    <row r="608" spans="3:3" x14ac:dyDescent="0.3">
      <c r="C608" s="14"/>
    </row>
    <row r="609" spans="3:3" x14ac:dyDescent="0.3">
      <c r="C609" s="14"/>
    </row>
    <row r="610" spans="3:3" x14ac:dyDescent="0.3">
      <c r="C610" s="14"/>
    </row>
    <row r="611" spans="3:3" x14ac:dyDescent="0.3">
      <c r="C611" s="14"/>
    </row>
    <row r="612" spans="3:3" x14ac:dyDescent="0.3">
      <c r="C612" s="14"/>
    </row>
    <row r="613" spans="3:3" x14ac:dyDescent="0.3">
      <c r="C613" s="14"/>
    </row>
    <row r="614" spans="3:3" x14ac:dyDescent="0.3">
      <c r="C614" s="14"/>
    </row>
    <row r="615" spans="3:3" x14ac:dyDescent="0.3">
      <c r="C615" s="14"/>
    </row>
    <row r="616" spans="3:3" x14ac:dyDescent="0.3">
      <c r="C616" s="14"/>
    </row>
    <row r="617" spans="3:3" x14ac:dyDescent="0.3">
      <c r="C617" s="14"/>
    </row>
    <row r="618" spans="3:3" x14ac:dyDescent="0.3">
      <c r="C618" s="14"/>
    </row>
    <row r="619" spans="3:3" x14ac:dyDescent="0.3">
      <c r="C619" s="14"/>
    </row>
    <row r="620" spans="3:3" x14ac:dyDescent="0.3">
      <c r="C620" s="14"/>
    </row>
    <row r="621" spans="3:3" x14ac:dyDescent="0.3">
      <c r="C621" s="14"/>
    </row>
    <row r="622" spans="3:3" x14ac:dyDescent="0.3">
      <c r="C622" s="14"/>
    </row>
    <row r="623" spans="3:3" x14ac:dyDescent="0.3">
      <c r="C623" s="14"/>
    </row>
    <row r="624" spans="3:3" x14ac:dyDescent="0.3">
      <c r="C624" s="14"/>
    </row>
    <row r="625" spans="3:3" x14ac:dyDescent="0.3">
      <c r="C625" s="14"/>
    </row>
    <row r="626" spans="3:3" x14ac:dyDescent="0.3">
      <c r="C626" s="14"/>
    </row>
    <row r="627" spans="3:3" x14ac:dyDescent="0.3">
      <c r="C627" s="14"/>
    </row>
    <row r="628" spans="3:3" x14ac:dyDescent="0.3">
      <c r="C628" s="14"/>
    </row>
    <row r="629" spans="3:3" x14ac:dyDescent="0.3">
      <c r="C629" s="14"/>
    </row>
    <row r="630" spans="3:3" x14ac:dyDescent="0.3">
      <c r="C630" s="14"/>
    </row>
    <row r="631" spans="3:3" x14ac:dyDescent="0.3">
      <c r="C631" s="14"/>
    </row>
    <row r="632" spans="3:3" x14ac:dyDescent="0.3">
      <c r="C632" s="14"/>
    </row>
    <row r="633" spans="3:3" x14ac:dyDescent="0.3">
      <c r="C633" s="14"/>
    </row>
    <row r="634" spans="3:3" x14ac:dyDescent="0.3">
      <c r="C634" s="14"/>
    </row>
    <row r="635" spans="3:3" x14ac:dyDescent="0.3">
      <c r="C635" s="14"/>
    </row>
    <row r="636" spans="3:3" x14ac:dyDescent="0.3">
      <c r="C636" s="14"/>
    </row>
    <row r="637" spans="3:3" x14ac:dyDescent="0.3">
      <c r="C637" s="14"/>
    </row>
    <row r="638" spans="3:3" x14ac:dyDescent="0.3">
      <c r="C638" s="14"/>
    </row>
    <row r="639" spans="3:3" x14ac:dyDescent="0.3">
      <c r="C639" s="14"/>
    </row>
    <row r="640" spans="3:3" x14ac:dyDescent="0.3">
      <c r="C640" s="14"/>
    </row>
    <row r="641" spans="3:3" x14ac:dyDescent="0.3">
      <c r="C641" s="14"/>
    </row>
    <row r="642" spans="3:3" x14ac:dyDescent="0.3">
      <c r="C642" s="14"/>
    </row>
    <row r="643" spans="3:3" x14ac:dyDescent="0.3">
      <c r="C643" s="14"/>
    </row>
    <row r="644" spans="3:3" x14ac:dyDescent="0.3">
      <c r="C644" s="14"/>
    </row>
    <row r="645" spans="3:3" x14ac:dyDescent="0.3">
      <c r="C645" s="14"/>
    </row>
    <row r="646" spans="3:3" x14ac:dyDescent="0.3">
      <c r="C646" s="14"/>
    </row>
    <row r="647" spans="3:3" x14ac:dyDescent="0.3">
      <c r="C647" s="14"/>
    </row>
    <row r="648" spans="3:3" x14ac:dyDescent="0.3">
      <c r="C648" s="14"/>
    </row>
    <row r="649" spans="3:3" x14ac:dyDescent="0.3">
      <c r="C649" s="14"/>
    </row>
    <row r="650" spans="3:3" x14ac:dyDescent="0.3">
      <c r="C650" s="14"/>
    </row>
    <row r="651" spans="3:3" x14ac:dyDescent="0.3">
      <c r="C651" s="14"/>
    </row>
    <row r="652" spans="3:3" x14ac:dyDescent="0.3">
      <c r="C652" s="14"/>
    </row>
    <row r="653" spans="3:3" x14ac:dyDescent="0.3">
      <c r="C653" s="14"/>
    </row>
    <row r="654" spans="3:3" x14ac:dyDescent="0.3">
      <c r="C654" s="14"/>
    </row>
    <row r="655" spans="3:3" x14ac:dyDescent="0.3">
      <c r="C655" s="14"/>
    </row>
    <row r="656" spans="3:3" x14ac:dyDescent="0.3">
      <c r="C656" s="14"/>
    </row>
    <row r="657" spans="3:3" x14ac:dyDescent="0.3">
      <c r="C657" s="14"/>
    </row>
    <row r="658" spans="3:3" x14ac:dyDescent="0.3">
      <c r="C658" s="14"/>
    </row>
    <row r="659" spans="3:3" x14ac:dyDescent="0.3">
      <c r="C659" s="14"/>
    </row>
    <row r="660" spans="3:3" x14ac:dyDescent="0.3">
      <c r="C660" s="14"/>
    </row>
    <row r="661" spans="3:3" x14ac:dyDescent="0.3">
      <c r="C661" s="14"/>
    </row>
    <row r="662" spans="3:3" x14ac:dyDescent="0.3">
      <c r="C662" s="14"/>
    </row>
    <row r="663" spans="3:3" x14ac:dyDescent="0.3">
      <c r="C663" s="14"/>
    </row>
    <row r="664" spans="3:3" x14ac:dyDescent="0.3">
      <c r="C664" s="14"/>
    </row>
    <row r="665" spans="3:3" x14ac:dyDescent="0.3">
      <c r="C665" s="14"/>
    </row>
    <row r="666" spans="3:3" x14ac:dyDescent="0.3">
      <c r="C666" s="14"/>
    </row>
    <row r="667" spans="3:3" x14ac:dyDescent="0.3">
      <c r="C667" s="14"/>
    </row>
    <row r="668" spans="3:3" x14ac:dyDescent="0.3">
      <c r="C668" s="14"/>
    </row>
    <row r="669" spans="3:3" x14ac:dyDescent="0.3">
      <c r="C669" s="14"/>
    </row>
    <row r="670" spans="3:3" x14ac:dyDescent="0.3">
      <c r="C670" s="14"/>
    </row>
    <row r="671" spans="3:3" x14ac:dyDescent="0.3">
      <c r="C671" s="14"/>
    </row>
    <row r="672" spans="3:3" x14ac:dyDescent="0.3">
      <c r="C672" s="14"/>
    </row>
    <row r="673" spans="3:3" x14ac:dyDescent="0.3">
      <c r="C673" s="14"/>
    </row>
    <row r="674" spans="3:3" x14ac:dyDescent="0.3">
      <c r="C674" s="14"/>
    </row>
    <row r="675" spans="3:3" x14ac:dyDescent="0.3">
      <c r="C675" s="14"/>
    </row>
    <row r="676" spans="3:3" x14ac:dyDescent="0.3">
      <c r="C676" s="14"/>
    </row>
    <row r="677" spans="3:3" x14ac:dyDescent="0.3">
      <c r="C677" s="14"/>
    </row>
    <row r="678" spans="3:3" x14ac:dyDescent="0.3">
      <c r="C678" s="14"/>
    </row>
    <row r="679" spans="3:3" x14ac:dyDescent="0.3">
      <c r="C679" s="14"/>
    </row>
    <row r="680" spans="3:3" x14ac:dyDescent="0.3">
      <c r="C680" s="14"/>
    </row>
    <row r="681" spans="3:3" x14ac:dyDescent="0.3">
      <c r="C681" s="14"/>
    </row>
    <row r="682" spans="3:3" x14ac:dyDescent="0.3">
      <c r="C682" s="14"/>
    </row>
    <row r="683" spans="3:3" x14ac:dyDescent="0.3">
      <c r="C683" s="14"/>
    </row>
    <row r="684" spans="3:3" x14ac:dyDescent="0.3">
      <c r="C684" s="14"/>
    </row>
    <row r="685" spans="3:3" x14ac:dyDescent="0.3">
      <c r="C685" s="14"/>
    </row>
    <row r="686" spans="3:3" x14ac:dyDescent="0.3">
      <c r="C686" s="14"/>
    </row>
    <row r="687" spans="3:3" x14ac:dyDescent="0.3">
      <c r="C687" s="14"/>
    </row>
    <row r="688" spans="3:3" x14ac:dyDescent="0.3">
      <c r="C688" s="14"/>
    </row>
    <row r="689" spans="3:3" x14ac:dyDescent="0.3">
      <c r="C689" s="14"/>
    </row>
    <row r="690" spans="3:3" x14ac:dyDescent="0.3">
      <c r="C690" s="14"/>
    </row>
    <row r="691" spans="3:3" x14ac:dyDescent="0.3">
      <c r="C691" s="14"/>
    </row>
    <row r="692" spans="3:3" x14ac:dyDescent="0.3">
      <c r="C692" s="14"/>
    </row>
    <row r="693" spans="3:3" x14ac:dyDescent="0.3">
      <c r="C693" s="14"/>
    </row>
    <row r="694" spans="3:3" x14ac:dyDescent="0.3">
      <c r="C694" s="14"/>
    </row>
    <row r="695" spans="3:3" x14ac:dyDescent="0.3">
      <c r="C695" s="14"/>
    </row>
    <row r="696" spans="3:3" x14ac:dyDescent="0.3">
      <c r="C696" s="14"/>
    </row>
    <row r="697" spans="3:3" x14ac:dyDescent="0.3">
      <c r="C697" s="14"/>
    </row>
    <row r="698" spans="3:3" x14ac:dyDescent="0.3">
      <c r="C698" s="14"/>
    </row>
    <row r="699" spans="3:3" x14ac:dyDescent="0.3">
      <c r="C699" s="14"/>
    </row>
    <row r="700" spans="3:3" x14ac:dyDescent="0.3">
      <c r="C700" s="14"/>
    </row>
    <row r="701" spans="3:3" x14ac:dyDescent="0.3">
      <c r="C701" s="14"/>
    </row>
    <row r="702" spans="3:3" x14ac:dyDescent="0.3">
      <c r="C702" s="14"/>
    </row>
    <row r="703" spans="3:3" x14ac:dyDescent="0.3">
      <c r="C703" s="14"/>
    </row>
    <row r="704" spans="3:3" x14ac:dyDescent="0.3">
      <c r="C704" s="14"/>
    </row>
    <row r="705" spans="3:3" x14ac:dyDescent="0.3">
      <c r="C705" s="14"/>
    </row>
    <row r="706" spans="3:3" x14ac:dyDescent="0.3">
      <c r="C706" s="14"/>
    </row>
    <row r="707" spans="3:3" x14ac:dyDescent="0.3">
      <c r="C707" s="14"/>
    </row>
    <row r="708" spans="3:3" x14ac:dyDescent="0.3">
      <c r="C708" s="14"/>
    </row>
    <row r="709" spans="3:3" x14ac:dyDescent="0.3">
      <c r="C709" s="14"/>
    </row>
    <row r="710" spans="3:3" x14ac:dyDescent="0.3">
      <c r="C710" s="14"/>
    </row>
    <row r="711" spans="3:3" x14ac:dyDescent="0.3">
      <c r="C711" s="14"/>
    </row>
    <row r="712" spans="3:3" x14ac:dyDescent="0.3">
      <c r="C712" s="14"/>
    </row>
    <row r="713" spans="3:3" x14ac:dyDescent="0.3">
      <c r="C713" s="14"/>
    </row>
    <row r="714" spans="3:3" x14ac:dyDescent="0.3">
      <c r="C714" s="14"/>
    </row>
    <row r="715" spans="3:3" x14ac:dyDescent="0.3">
      <c r="C715" s="14"/>
    </row>
    <row r="716" spans="3:3" x14ac:dyDescent="0.3">
      <c r="C716" s="14"/>
    </row>
    <row r="717" spans="3:3" x14ac:dyDescent="0.3">
      <c r="C717" s="14"/>
    </row>
    <row r="718" spans="3:3" x14ac:dyDescent="0.3">
      <c r="C718" s="14"/>
    </row>
    <row r="719" spans="3:3" x14ac:dyDescent="0.3">
      <c r="C719" s="14"/>
    </row>
    <row r="720" spans="3:3" x14ac:dyDescent="0.3">
      <c r="C720" s="14"/>
    </row>
    <row r="721" spans="3:3" x14ac:dyDescent="0.3">
      <c r="C721" s="14"/>
    </row>
    <row r="722" spans="3:3" x14ac:dyDescent="0.3">
      <c r="C722" s="14"/>
    </row>
    <row r="723" spans="3:3" x14ac:dyDescent="0.3">
      <c r="C723" s="14"/>
    </row>
    <row r="724" spans="3:3" x14ac:dyDescent="0.3">
      <c r="C724" s="14"/>
    </row>
    <row r="725" spans="3:3" x14ac:dyDescent="0.3">
      <c r="C725" s="14"/>
    </row>
    <row r="726" spans="3:3" x14ac:dyDescent="0.3">
      <c r="C726" s="14"/>
    </row>
    <row r="727" spans="3:3" x14ac:dyDescent="0.3">
      <c r="C727" s="14"/>
    </row>
    <row r="728" spans="3:3" x14ac:dyDescent="0.3">
      <c r="C728" s="14"/>
    </row>
    <row r="729" spans="3:3" x14ac:dyDescent="0.3">
      <c r="C729" s="14"/>
    </row>
    <row r="730" spans="3:3" x14ac:dyDescent="0.3">
      <c r="C730" s="14"/>
    </row>
    <row r="731" spans="3:3" x14ac:dyDescent="0.3">
      <c r="C731" s="14"/>
    </row>
    <row r="732" spans="3:3" x14ac:dyDescent="0.3">
      <c r="C732" s="14"/>
    </row>
    <row r="733" spans="3:3" x14ac:dyDescent="0.3">
      <c r="C733" s="14"/>
    </row>
    <row r="734" spans="3:3" x14ac:dyDescent="0.3">
      <c r="C734" s="14"/>
    </row>
    <row r="735" spans="3:3" x14ac:dyDescent="0.3">
      <c r="C735" s="14"/>
    </row>
    <row r="736" spans="3:3" x14ac:dyDescent="0.3">
      <c r="C736" s="14"/>
    </row>
    <row r="737" spans="3:3" x14ac:dyDescent="0.3">
      <c r="C737" s="14"/>
    </row>
    <row r="738" spans="3:3" x14ac:dyDescent="0.3">
      <c r="C738" s="14"/>
    </row>
    <row r="739" spans="3:3" x14ac:dyDescent="0.3">
      <c r="C739" s="14"/>
    </row>
    <row r="740" spans="3:3" x14ac:dyDescent="0.3">
      <c r="C740" s="14"/>
    </row>
    <row r="741" spans="3:3" x14ac:dyDescent="0.3">
      <c r="C741" s="14"/>
    </row>
    <row r="742" spans="3:3" x14ac:dyDescent="0.3">
      <c r="C742" s="14"/>
    </row>
    <row r="743" spans="3:3" x14ac:dyDescent="0.3">
      <c r="C743" s="14"/>
    </row>
    <row r="744" spans="3:3" x14ac:dyDescent="0.3">
      <c r="C744" s="14"/>
    </row>
    <row r="745" spans="3:3" x14ac:dyDescent="0.3">
      <c r="C745" s="14"/>
    </row>
    <row r="746" spans="3:3" x14ac:dyDescent="0.3">
      <c r="C746" s="14"/>
    </row>
    <row r="747" spans="3:3" x14ac:dyDescent="0.3">
      <c r="C747" s="14"/>
    </row>
    <row r="748" spans="3:3" x14ac:dyDescent="0.3">
      <c r="C748" s="14"/>
    </row>
    <row r="749" spans="3:3" x14ac:dyDescent="0.3">
      <c r="C749" s="14"/>
    </row>
    <row r="750" spans="3:3" x14ac:dyDescent="0.3">
      <c r="C750" s="14"/>
    </row>
    <row r="751" spans="3:3" x14ac:dyDescent="0.3">
      <c r="C751" s="14"/>
    </row>
    <row r="752" spans="3:3" x14ac:dyDescent="0.3">
      <c r="C752" s="14"/>
    </row>
    <row r="753" spans="3:3" x14ac:dyDescent="0.3">
      <c r="C753" s="14"/>
    </row>
    <row r="754" spans="3:3" x14ac:dyDescent="0.3">
      <c r="C754" s="14"/>
    </row>
    <row r="755" spans="3:3" x14ac:dyDescent="0.3">
      <c r="C755" s="14"/>
    </row>
    <row r="756" spans="3:3" x14ac:dyDescent="0.3">
      <c r="C756" s="14"/>
    </row>
    <row r="757" spans="3:3" x14ac:dyDescent="0.3">
      <c r="C757" s="14"/>
    </row>
    <row r="758" spans="3:3" x14ac:dyDescent="0.3">
      <c r="C758" s="14"/>
    </row>
    <row r="759" spans="3:3" x14ac:dyDescent="0.3">
      <c r="C759" s="14"/>
    </row>
    <row r="760" spans="3:3" x14ac:dyDescent="0.3">
      <c r="C760" s="14"/>
    </row>
    <row r="761" spans="3:3" x14ac:dyDescent="0.3">
      <c r="C761" s="14"/>
    </row>
    <row r="762" spans="3:3" x14ac:dyDescent="0.3">
      <c r="C762" s="14"/>
    </row>
    <row r="763" spans="3:3" x14ac:dyDescent="0.3">
      <c r="C763" s="14"/>
    </row>
    <row r="764" spans="3:3" x14ac:dyDescent="0.3">
      <c r="C764" s="14"/>
    </row>
    <row r="765" spans="3:3" x14ac:dyDescent="0.3">
      <c r="C765" s="14"/>
    </row>
    <row r="766" spans="3:3" x14ac:dyDescent="0.3">
      <c r="C766" s="14"/>
    </row>
    <row r="767" spans="3:3" x14ac:dyDescent="0.3">
      <c r="C767" s="14"/>
    </row>
    <row r="768" spans="3:3" x14ac:dyDescent="0.3">
      <c r="C768" s="14"/>
    </row>
    <row r="769" spans="3:3" x14ac:dyDescent="0.3">
      <c r="C769" s="14"/>
    </row>
    <row r="770" spans="3:3" x14ac:dyDescent="0.3">
      <c r="C770" s="14"/>
    </row>
    <row r="771" spans="3:3" x14ac:dyDescent="0.3">
      <c r="C771" s="14"/>
    </row>
    <row r="772" spans="3:3" x14ac:dyDescent="0.3">
      <c r="C772" s="14"/>
    </row>
    <row r="773" spans="3:3" x14ac:dyDescent="0.3">
      <c r="C773" s="14"/>
    </row>
    <row r="774" spans="3:3" x14ac:dyDescent="0.3">
      <c r="C774" s="14"/>
    </row>
    <row r="775" spans="3:3" x14ac:dyDescent="0.3">
      <c r="C775" s="14"/>
    </row>
    <row r="776" spans="3:3" x14ac:dyDescent="0.3">
      <c r="C776" s="14"/>
    </row>
    <row r="777" spans="3:3" x14ac:dyDescent="0.3">
      <c r="C777" s="14"/>
    </row>
    <row r="778" spans="3:3" x14ac:dyDescent="0.3">
      <c r="C778" s="14"/>
    </row>
    <row r="779" spans="3:3" x14ac:dyDescent="0.3">
      <c r="C779" s="14"/>
    </row>
    <row r="780" spans="3:3" x14ac:dyDescent="0.3">
      <c r="C780" s="14"/>
    </row>
    <row r="781" spans="3:3" x14ac:dyDescent="0.3">
      <c r="C781" s="14"/>
    </row>
    <row r="782" spans="3:3" x14ac:dyDescent="0.3">
      <c r="C782" s="14"/>
    </row>
    <row r="783" spans="3:3" x14ac:dyDescent="0.3">
      <c r="C783" s="14"/>
    </row>
    <row r="784" spans="3:3" x14ac:dyDescent="0.3">
      <c r="C784" s="14"/>
    </row>
    <row r="785" spans="3:3" x14ac:dyDescent="0.3">
      <c r="C785" s="14"/>
    </row>
    <row r="786" spans="3:3" x14ac:dyDescent="0.3">
      <c r="C786" s="14"/>
    </row>
    <row r="787" spans="3:3" x14ac:dyDescent="0.3">
      <c r="C787" s="14"/>
    </row>
    <row r="788" spans="3:3" x14ac:dyDescent="0.3">
      <c r="C788" s="14"/>
    </row>
    <row r="789" spans="3:3" x14ac:dyDescent="0.3">
      <c r="C789" s="14"/>
    </row>
    <row r="790" spans="3:3" x14ac:dyDescent="0.3">
      <c r="C790" s="14"/>
    </row>
    <row r="791" spans="3:3" x14ac:dyDescent="0.3">
      <c r="C791" s="14"/>
    </row>
    <row r="792" spans="3:3" x14ac:dyDescent="0.3">
      <c r="C792" s="14"/>
    </row>
    <row r="793" spans="3:3" x14ac:dyDescent="0.3">
      <c r="C793" s="14"/>
    </row>
    <row r="794" spans="3:3" x14ac:dyDescent="0.3">
      <c r="C794" s="14"/>
    </row>
    <row r="795" spans="3:3" x14ac:dyDescent="0.3">
      <c r="C795" s="14"/>
    </row>
    <row r="796" spans="3:3" x14ac:dyDescent="0.3">
      <c r="C796" s="14"/>
    </row>
    <row r="797" spans="3:3" x14ac:dyDescent="0.3">
      <c r="C797" s="14"/>
    </row>
    <row r="798" spans="3:3" x14ac:dyDescent="0.3">
      <c r="C798" s="14"/>
    </row>
    <row r="799" spans="3:3" x14ac:dyDescent="0.3">
      <c r="C799" s="14"/>
    </row>
    <row r="800" spans="3:3" x14ac:dyDescent="0.3">
      <c r="C800" s="14"/>
    </row>
    <row r="801" spans="3:3" x14ac:dyDescent="0.3">
      <c r="C801" s="14"/>
    </row>
    <row r="802" spans="3:3" x14ac:dyDescent="0.3">
      <c r="C802" s="14"/>
    </row>
    <row r="803" spans="3:3" x14ac:dyDescent="0.3">
      <c r="C803" s="14"/>
    </row>
    <row r="804" spans="3:3" x14ac:dyDescent="0.3">
      <c r="C804" s="14"/>
    </row>
    <row r="805" spans="3:3" x14ac:dyDescent="0.3">
      <c r="C805" s="14"/>
    </row>
    <row r="806" spans="3:3" x14ac:dyDescent="0.3">
      <c r="C806" s="14"/>
    </row>
    <row r="807" spans="3:3" x14ac:dyDescent="0.3">
      <c r="C807" s="14"/>
    </row>
    <row r="808" spans="3:3" x14ac:dyDescent="0.3">
      <c r="C808" s="14"/>
    </row>
    <row r="809" spans="3:3" x14ac:dyDescent="0.3">
      <c r="C809" s="14"/>
    </row>
    <row r="810" spans="3:3" x14ac:dyDescent="0.3">
      <c r="C810" s="14"/>
    </row>
    <row r="811" spans="3:3" x14ac:dyDescent="0.3">
      <c r="C811" s="14"/>
    </row>
    <row r="812" spans="3:3" x14ac:dyDescent="0.3">
      <c r="C812" s="14"/>
    </row>
    <row r="813" spans="3:3" x14ac:dyDescent="0.3">
      <c r="C813" s="14"/>
    </row>
    <row r="814" spans="3:3" x14ac:dyDescent="0.3">
      <c r="C814" s="14"/>
    </row>
    <row r="815" spans="3:3" x14ac:dyDescent="0.3">
      <c r="C815" s="14"/>
    </row>
    <row r="816" spans="3:3" x14ac:dyDescent="0.3">
      <c r="C816" s="14"/>
    </row>
    <row r="817" spans="3:3" x14ac:dyDescent="0.3">
      <c r="C817" s="14"/>
    </row>
    <row r="818" spans="3:3" x14ac:dyDescent="0.3">
      <c r="C818" s="14"/>
    </row>
    <row r="819" spans="3:3" x14ac:dyDescent="0.3">
      <c r="C819" s="14"/>
    </row>
    <row r="820" spans="3:3" x14ac:dyDescent="0.3">
      <c r="C820" s="14"/>
    </row>
    <row r="821" spans="3:3" x14ac:dyDescent="0.3">
      <c r="C821" s="14"/>
    </row>
    <row r="822" spans="3:3" x14ac:dyDescent="0.3">
      <c r="C822" s="14"/>
    </row>
    <row r="823" spans="3:3" x14ac:dyDescent="0.3">
      <c r="C823" s="14"/>
    </row>
    <row r="824" spans="3:3" x14ac:dyDescent="0.3">
      <c r="C824" s="14"/>
    </row>
    <row r="825" spans="3:3" x14ac:dyDescent="0.3">
      <c r="C825" s="14"/>
    </row>
    <row r="826" spans="3:3" x14ac:dyDescent="0.3">
      <c r="C826" s="14"/>
    </row>
    <row r="827" spans="3:3" x14ac:dyDescent="0.3">
      <c r="C827" s="14"/>
    </row>
    <row r="828" spans="3:3" x14ac:dyDescent="0.3">
      <c r="C828" s="14"/>
    </row>
    <row r="829" spans="3:3" x14ac:dyDescent="0.3">
      <c r="C829" s="14"/>
    </row>
    <row r="830" spans="3:3" x14ac:dyDescent="0.3">
      <c r="C830" s="14"/>
    </row>
    <row r="831" spans="3:3" x14ac:dyDescent="0.3">
      <c r="C831" s="14"/>
    </row>
    <row r="832" spans="3:3" x14ac:dyDescent="0.3">
      <c r="C832" s="14"/>
    </row>
    <row r="833" spans="3:3" x14ac:dyDescent="0.3">
      <c r="C833" s="14"/>
    </row>
    <row r="834" spans="3:3" x14ac:dyDescent="0.3">
      <c r="C834" s="14"/>
    </row>
    <row r="835" spans="3:3" x14ac:dyDescent="0.3">
      <c r="C835" s="14"/>
    </row>
    <row r="836" spans="3:3" x14ac:dyDescent="0.3">
      <c r="C836" s="14"/>
    </row>
    <row r="837" spans="3:3" x14ac:dyDescent="0.3">
      <c r="C837" s="14"/>
    </row>
    <row r="838" spans="3:3" x14ac:dyDescent="0.3">
      <c r="C838" s="14"/>
    </row>
    <row r="839" spans="3:3" x14ac:dyDescent="0.3">
      <c r="C839" s="14"/>
    </row>
    <row r="840" spans="3:3" x14ac:dyDescent="0.3">
      <c r="C840" s="14"/>
    </row>
    <row r="841" spans="3:3" x14ac:dyDescent="0.3">
      <c r="C841" s="14"/>
    </row>
    <row r="842" spans="3:3" x14ac:dyDescent="0.3">
      <c r="C842" s="14"/>
    </row>
    <row r="843" spans="3:3" x14ac:dyDescent="0.3">
      <c r="C843" s="14"/>
    </row>
    <row r="844" spans="3:3" x14ac:dyDescent="0.3">
      <c r="C844" s="14"/>
    </row>
    <row r="845" spans="3:3" x14ac:dyDescent="0.3">
      <c r="C845" s="14"/>
    </row>
    <row r="846" spans="3:3" x14ac:dyDescent="0.3">
      <c r="C846" s="14"/>
    </row>
    <row r="847" spans="3:3" x14ac:dyDescent="0.3">
      <c r="C847" s="14"/>
    </row>
    <row r="848" spans="3:3" x14ac:dyDescent="0.3">
      <c r="C848" s="14"/>
    </row>
    <row r="849" spans="3:3" x14ac:dyDescent="0.3">
      <c r="C849" s="14"/>
    </row>
    <row r="850" spans="3:3" x14ac:dyDescent="0.3">
      <c r="C850" s="14"/>
    </row>
    <row r="851" spans="3:3" x14ac:dyDescent="0.3">
      <c r="C851" s="14"/>
    </row>
    <row r="852" spans="3:3" x14ac:dyDescent="0.3">
      <c r="C852" s="14"/>
    </row>
    <row r="853" spans="3:3" x14ac:dyDescent="0.3">
      <c r="C853" s="14"/>
    </row>
    <row r="854" spans="3:3" x14ac:dyDescent="0.3">
      <c r="C854" s="14"/>
    </row>
    <row r="855" spans="3:3" x14ac:dyDescent="0.3">
      <c r="C855" s="14"/>
    </row>
    <row r="856" spans="3:3" x14ac:dyDescent="0.3">
      <c r="C856" s="14"/>
    </row>
    <row r="857" spans="3:3" x14ac:dyDescent="0.3">
      <c r="C857" s="14"/>
    </row>
    <row r="858" spans="3:3" x14ac:dyDescent="0.3">
      <c r="C858" s="14"/>
    </row>
    <row r="859" spans="3:3" x14ac:dyDescent="0.3">
      <c r="C859" s="14"/>
    </row>
    <row r="860" spans="3:3" x14ac:dyDescent="0.3">
      <c r="C860" s="14"/>
    </row>
    <row r="861" spans="3:3" x14ac:dyDescent="0.3">
      <c r="C861" s="14"/>
    </row>
    <row r="862" spans="3:3" x14ac:dyDescent="0.3">
      <c r="C862" s="14"/>
    </row>
    <row r="863" spans="3:3" x14ac:dyDescent="0.3">
      <c r="C863" s="14"/>
    </row>
    <row r="864" spans="3:3" x14ac:dyDescent="0.3">
      <c r="C864" s="14"/>
    </row>
    <row r="865" spans="3:3" x14ac:dyDescent="0.3">
      <c r="C865" s="14"/>
    </row>
    <row r="866" spans="3:3" x14ac:dyDescent="0.3">
      <c r="C866" s="14"/>
    </row>
    <row r="867" spans="3:3" x14ac:dyDescent="0.3">
      <c r="C867" s="14"/>
    </row>
    <row r="868" spans="3:3" x14ac:dyDescent="0.3">
      <c r="C868" s="14"/>
    </row>
    <row r="869" spans="3:3" x14ac:dyDescent="0.3">
      <c r="C869" s="14"/>
    </row>
    <row r="870" spans="3:3" x14ac:dyDescent="0.3">
      <c r="C870" s="14"/>
    </row>
    <row r="871" spans="3:3" x14ac:dyDescent="0.3">
      <c r="C871" s="14"/>
    </row>
    <row r="872" spans="3:3" x14ac:dyDescent="0.3">
      <c r="C872" s="14"/>
    </row>
    <row r="873" spans="3:3" x14ac:dyDescent="0.3">
      <c r="C873" s="14"/>
    </row>
    <row r="874" spans="3:3" x14ac:dyDescent="0.3">
      <c r="C874" s="14"/>
    </row>
    <row r="875" spans="3:3" x14ac:dyDescent="0.3">
      <c r="C875" s="14"/>
    </row>
    <row r="876" spans="3:3" x14ac:dyDescent="0.3">
      <c r="C876" s="14"/>
    </row>
    <row r="877" spans="3:3" x14ac:dyDescent="0.3">
      <c r="C877" s="14"/>
    </row>
    <row r="878" spans="3:3" x14ac:dyDescent="0.3">
      <c r="C878" s="14"/>
    </row>
    <row r="879" spans="3:3" x14ac:dyDescent="0.3">
      <c r="C879" s="14"/>
    </row>
    <row r="880" spans="3:3" x14ac:dyDescent="0.3">
      <c r="C880" s="14"/>
    </row>
    <row r="881" spans="3:3" x14ac:dyDescent="0.3">
      <c r="C881" s="14"/>
    </row>
    <row r="882" spans="3:3" x14ac:dyDescent="0.3">
      <c r="C882" s="14"/>
    </row>
    <row r="883" spans="3:3" x14ac:dyDescent="0.3">
      <c r="C883" s="14"/>
    </row>
    <row r="884" spans="3:3" x14ac:dyDescent="0.3">
      <c r="C884" s="14"/>
    </row>
    <row r="885" spans="3:3" x14ac:dyDescent="0.3">
      <c r="C885" s="14"/>
    </row>
    <row r="886" spans="3:3" x14ac:dyDescent="0.3">
      <c r="C886" s="14"/>
    </row>
    <row r="887" spans="3:3" x14ac:dyDescent="0.3">
      <c r="C887" s="14"/>
    </row>
    <row r="888" spans="3:3" x14ac:dyDescent="0.3">
      <c r="C888" s="14"/>
    </row>
    <row r="889" spans="3:3" x14ac:dyDescent="0.3">
      <c r="C889" s="14"/>
    </row>
    <row r="890" spans="3:3" x14ac:dyDescent="0.3">
      <c r="C890" s="14"/>
    </row>
    <row r="891" spans="3:3" x14ac:dyDescent="0.3">
      <c r="C891" s="14"/>
    </row>
    <row r="892" spans="3:3" x14ac:dyDescent="0.3">
      <c r="C892" s="14"/>
    </row>
    <row r="893" spans="3:3" x14ac:dyDescent="0.3">
      <c r="C893" s="14"/>
    </row>
    <row r="894" spans="3:3" x14ac:dyDescent="0.3">
      <c r="C894" s="14"/>
    </row>
    <row r="895" spans="3:3" x14ac:dyDescent="0.3">
      <c r="C895" s="14"/>
    </row>
    <row r="896" spans="3:3" x14ac:dyDescent="0.3">
      <c r="C896" s="14"/>
    </row>
    <row r="897" spans="3:3" x14ac:dyDescent="0.3">
      <c r="C897" s="14"/>
    </row>
    <row r="898" spans="3:3" x14ac:dyDescent="0.3">
      <c r="C898" s="14"/>
    </row>
    <row r="899" spans="3:3" x14ac:dyDescent="0.3">
      <c r="C899" s="14"/>
    </row>
    <row r="900" spans="3:3" x14ac:dyDescent="0.3">
      <c r="C900" s="14"/>
    </row>
    <row r="901" spans="3:3" x14ac:dyDescent="0.3">
      <c r="C901" s="14"/>
    </row>
    <row r="902" spans="3:3" x14ac:dyDescent="0.3">
      <c r="C902" s="14"/>
    </row>
    <row r="903" spans="3:3" x14ac:dyDescent="0.3">
      <c r="C903" s="14"/>
    </row>
    <row r="904" spans="3:3" x14ac:dyDescent="0.3">
      <c r="C904" s="14"/>
    </row>
    <row r="905" spans="3:3" x14ac:dyDescent="0.3">
      <c r="C905" s="14"/>
    </row>
    <row r="906" spans="3:3" x14ac:dyDescent="0.3">
      <c r="C906" s="14"/>
    </row>
    <row r="907" spans="3:3" x14ac:dyDescent="0.3">
      <c r="C907" s="14"/>
    </row>
    <row r="908" spans="3:3" x14ac:dyDescent="0.3">
      <c r="C908" s="14"/>
    </row>
    <row r="909" spans="3:3" x14ac:dyDescent="0.3">
      <c r="C909" s="14"/>
    </row>
    <row r="910" spans="3:3" x14ac:dyDescent="0.3">
      <c r="C910" s="14"/>
    </row>
    <row r="911" spans="3:3" x14ac:dyDescent="0.3">
      <c r="C911" s="14"/>
    </row>
    <row r="912" spans="3:3" x14ac:dyDescent="0.3">
      <c r="C912" s="14"/>
    </row>
    <row r="913" spans="3:3" x14ac:dyDescent="0.3">
      <c r="C913" s="14"/>
    </row>
    <row r="914" spans="3:3" x14ac:dyDescent="0.3">
      <c r="C914" s="14"/>
    </row>
    <row r="915" spans="3:3" x14ac:dyDescent="0.3">
      <c r="C915" s="14"/>
    </row>
    <row r="916" spans="3:3" x14ac:dyDescent="0.3">
      <c r="C916" s="14"/>
    </row>
    <row r="917" spans="3:3" x14ac:dyDescent="0.3">
      <c r="C917" s="14"/>
    </row>
    <row r="918" spans="3:3" x14ac:dyDescent="0.3">
      <c r="C918" s="14"/>
    </row>
    <row r="919" spans="3:3" x14ac:dyDescent="0.3">
      <c r="C919" s="14"/>
    </row>
    <row r="920" spans="3:3" x14ac:dyDescent="0.3">
      <c r="C920" s="14"/>
    </row>
    <row r="921" spans="3:3" x14ac:dyDescent="0.3">
      <c r="C921" s="14"/>
    </row>
    <row r="922" spans="3:3" x14ac:dyDescent="0.3">
      <c r="C922" s="14"/>
    </row>
    <row r="923" spans="3:3" x14ac:dyDescent="0.3">
      <c r="C923" s="14"/>
    </row>
    <row r="924" spans="3:3" x14ac:dyDescent="0.3">
      <c r="C924" s="14"/>
    </row>
    <row r="925" spans="3:3" x14ac:dyDescent="0.3">
      <c r="C925" s="14"/>
    </row>
    <row r="926" spans="3:3" x14ac:dyDescent="0.3">
      <c r="C926" s="14"/>
    </row>
    <row r="927" spans="3:3" x14ac:dyDescent="0.3">
      <c r="C927" s="14"/>
    </row>
    <row r="928" spans="3:3" x14ac:dyDescent="0.3">
      <c r="C928" s="14"/>
    </row>
    <row r="929" spans="3:3" x14ac:dyDescent="0.3">
      <c r="C929" s="14"/>
    </row>
    <row r="930" spans="3:3" x14ac:dyDescent="0.3">
      <c r="C930" s="14"/>
    </row>
    <row r="931" spans="3:3" x14ac:dyDescent="0.3">
      <c r="C931" s="14"/>
    </row>
    <row r="932" spans="3:3" x14ac:dyDescent="0.3">
      <c r="C932" s="14"/>
    </row>
    <row r="933" spans="3:3" x14ac:dyDescent="0.3">
      <c r="C933" s="14"/>
    </row>
    <row r="934" spans="3:3" x14ac:dyDescent="0.3">
      <c r="C934" s="14"/>
    </row>
    <row r="935" spans="3:3" x14ac:dyDescent="0.3">
      <c r="C935" s="14"/>
    </row>
    <row r="936" spans="3:3" x14ac:dyDescent="0.3">
      <c r="C936" s="14"/>
    </row>
    <row r="937" spans="3:3" x14ac:dyDescent="0.3">
      <c r="C937" s="14"/>
    </row>
    <row r="938" spans="3:3" x14ac:dyDescent="0.3">
      <c r="C938" s="14"/>
    </row>
    <row r="939" spans="3:3" x14ac:dyDescent="0.3">
      <c r="C939" s="14"/>
    </row>
    <row r="940" spans="3:3" x14ac:dyDescent="0.3">
      <c r="C940" s="14"/>
    </row>
    <row r="941" spans="3:3" x14ac:dyDescent="0.3">
      <c r="C941" s="14"/>
    </row>
    <row r="942" spans="3:3" x14ac:dyDescent="0.3">
      <c r="C942" s="14"/>
    </row>
    <row r="943" spans="3:3" x14ac:dyDescent="0.3">
      <c r="C943" s="14"/>
    </row>
    <row r="944" spans="3:3" x14ac:dyDescent="0.3">
      <c r="C944" s="14"/>
    </row>
    <row r="945" spans="3:3" x14ac:dyDescent="0.3">
      <c r="C945" s="14"/>
    </row>
    <row r="946" spans="3:3" x14ac:dyDescent="0.3">
      <c r="C946" s="14"/>
    </row>
    <row r="947" spans="3:3" x14ac:dyDescent="0.3">
      <c r="C947" s="14"/>
    </row>
    <row r="948" spans="3:3" x14ac:dyDescent="0.3">
      <c r="C948" s="14"/>
    </row>
    <row r="949" spans="3:3" x14ac:dyDescent="0.3">
      <c r="C949" s="14"/>
    </row>
    <row r="950" spans="3:3" x14ac:dyDescent="0.3">
      <c r="C950" s="14"/>
    </row>
    <row r="951" spans="3:3" x14ac:dyDescent="0.3">
      <c r="C951" s="14"/>
    </row>
    <row r="952" spans="3:3" x14ac:dyDescent="0.3">
      <c r="C952" s="14"/>
    </row>
    <row r="953" spans="3:3" x14ac:dyDescent="0.3">
      <c r="C953" s="14"/>
    </row>
    <row r="954" spans="3:3" x14ac:dyDescent="0.3">
      <c r="C954" s="14"/>
    </row>
    <row r="955" spans="3:3" x14ac:dyDescent="0.3">
      <c r="C955" s="14"/>
    </row>
    <row r="956" spans="3:3" x14ac:dyDescent="0.3">
      <c r="C956" s="14"/>
    </row>
    <row r="957" spans="3:3" x14ac:dyDescent="0.3">
      <c r="C957" s="14"/>
    </row>
    <row r="958" spans="3:3" x14ac:dyDescent="0.3">
      <c r="C958" s="14"/>
    </row>
    <row r="959" spans="3:3" x14ac:dyDescent="0.3">
      <c r="C959" s="14"/>
    </row>
    <row r="960" spans="3:3" x14ac:dyDescent="0.3">
      <c r="C960" s="14"/>
    </row>
    <row r="961" spans="3:3" x14ac:dyDescent="0.3">
      <c r="C961" s="14"/>
    </row>
    <row r="962" spans="3:3" x14ac:dyDescent="0.3">
      <c r="C962" s="14"/>
    </row>
    <row r="963" spans="3:3" x14ac:dyDescent="0.3">
      <c r="C963" s="14"/>
    </row>
    <row r="964" spans="3:3" x14ac:dyDescent="0.3">
      <c r="C964" s="14"/>
    </row>
    <row r="965" spans="3:3" x14ac:dyDescent="0.3">
      <c r="C965" s="14"/>
    </row>
    <row r="966" spans="3:3" x14ac:dyDescent="0.3">
      <c r="C966" s="14"/>
    </row>
    <row r="967" spans="3:3" x14ac:dyDescent="0.3">
      <c r="C967" s="14"/>
    </row>
    <row r="968" spans="3:3" x14ac:dyDescent="0.3">
      <c r="C968" s="14"/>
    </row>
    <row r="969" spans="3:3" x14ac:dyDescent="0.3">
      <c r="C969" s="14"/>
    </row>
    <row r="970" spans="3:3" x14ac:dyDescent="0.3">
      <c r="C970" s="14"/>
    </row>
    <row r="971" spans="3:3" x14ac:dyDescent="0.3">
      <c r="C971" s="14"/>
    </row>
    <row r="972" spans="3:3" x14ac:dyDescent="0.3">
      <c r="C972" s="14"/>
    </row>
    <row r="973" spans="3:3" x14ac:dyDescent="0.3">
      <c r="C973" s="14"/>
    </row>
    <row r="974" spans="3:3" x14ac:dyDescent="0.3">
      <c r="C974" s="14"/>
    </row>
    <row r="975" spans="3:3" x14ac:dyDescent="0.3">
      <c r="C975" s="14"/>
    </row>
    <row r="976" spans="3:3" x14ac:dyDescent="0.3">
      <c r="C976" s="14"/>
    </row>
    <row r="977" spans="3:3" x14ac:dyDescent="0.3">
      <c r="C977" s="14"/>
    </row>
    <row r="978" spans="3:3" x14ac:dyDescent="0.3">
      <c r="C978" s="14"/>
    </row>
    <row r="979" spans="3:3" x14ac:dyDescent="0.3">
      <c r="C979" s="14"/>
    </row>
    <row r="980" spans="3:3" x14ac:dyDescent="0.3">
      <c r="C980" s="14"/>
    </row>
    <row r="981" spans="3:3" x14ac:dyDescent="0.3">
      <c r="C981" s="14"/>
    </row>
    <row r="982" spans="3:3" x14ac:dyDescent="0.3">
      <c r="C982" s="14"/>
    </row>
    <row r="983" spans="3:3" x14ac:dyDescent="0.3">
      <c r="C983" s="14"/>
    </row>
    <row r="984" spans="3:3" x14ac:dyDescent="0.3">
      <c r="C984" s="14"/>
    </row>
    <row r="985" spans="3:3" x14ac:dyDescent="0.3">
      <c r="C985" s="14"/>
    </row>
    <row r="986" spans="3:3" x14ac:dyDescent="0.3">
      <c r="C986" s="14"/>
    </row>
    <row r="987" spans="3:3" x14ac:dyDescent="0.3">
      <c r="C987" s="14"/>
    </row>
    <row r="988" spans="3:3" x14ac:dyDescent="0.3">
      <c r="C988" s="14"/>
    </row>
    <row r="989" spans="3:3" x14ac:dyDescent="0.3">
      <c r="C989" s="14"/>
    </row>
    <row r="990" spans="3:3" x14ac:dyDescent="0.3">
      <c r="C990" s="14"/>
    </row>
    <row r="991" spans="3:3" x14ac:dyDescent="0.3">
      <c r="C991" s="14"/>
    </row>
    <row r="992" spans="3:3" x14ac:dyDescent="0.3">
      <c r="C992" s="14"/>
    </row>
    <row r="993" spans="3:3" x14ac:dyDescent="0.3">
      <c r="C993" s="14"/>
    </row>
    <row r="994" spans="3:3" x14ac:dyDescent="0.3">
      <c r="C994" s="14"/>
    </row>
    <row r="995" spans="3:3" x14ac:dyDescent="0.3">
      <c r="C995" s="14"/>
    </row>
    <row r="996" spans="3:3" x14ac:dyDescent="0.3">
      <c r="C996" s="14"/>
    </row>
    <row r="997" spans="3:3" x14ac:dyDescent="0.3">
      <c r="C997" s="14"/>
    </row>
    <row r="998" spans="3:3" x14ac:dyDescent="0.3">
      <c r="C998" s="14"/>
    </row>
    <row r="999" spans="3:3" x14ac:dyDescent="0.3">
      <c r="C999" s="14"/>
    </row>
    <row r="1000" spans="3:3" x14ac:dyDescent="0.3">
      <c r="C1000" s="14"/>
    </row>
    <row r="1001" spans="3:3" x14ac:dyDescent="0.3">
      <c r="C1001" s="14"/>
    </row>
    <row r="1002" spans="3:3" x14ac:dyDescent="0.3">
      <c r="C1002" s="14"/>
    </row>
    <row r="1003" spans="3:3" x14ac:dyDescent="0.3">
      <c r="C1003" s="14"/>
    </row>
    <row r="1004" spans="3:3" x14ac:dyDescent="0.3">
      <c r="C1004" s="14"/>
    </row>
    <row r="1005" spans="3:3" x14ac:dyDescent="0.3">
      <c r="C1005" s="14"/>
    </row>
    <row r="1006" spans="3:3" x14ac:dyDescent="0.3">
      <c r="C1006" s="14"/>
    </row>
    <row r="1007" spans="3:3" x14ac:dyDescent="0.3">
      <c r="C1007" s="14"/>
    </row>
    <row r="1008" spans="3:3" x14ac:dyDescent="0.3">
      <c r="C1008" s="14"/>
    </row>
    <row r="1009" spans="3:3" x14ac:dyDescent="0.3">
      <c r="C1009" s="14"/>
    </row>
    <row r="1010" spans="3:3" x14ac:dyDescent="0.3">
      <c r="C1010" s="14"/>
    </row>
    <row r="1011" spans="3:3" x14ac:dyDescent="0.3">
      <c r="C1011" s="14"/>
    </row>
    <row r="1012" spans="3:3" x14ac:dyDescent="0.3">
      <c r="C1012" s="14"/>
    </row>
    <row r="1013" spans="3:3" x14ac:dyDescent="0.3">
      <c r="C1013" s="14"/>
    </row>
    <row r="1014" spans="3:3" x14ac:dyDescent="0.3">
      <c r="C1014" s="14"/>
    </row>
    <row r="1015" spans="3:3" x14ac:dyDescent="0.3">
      <c r="C1015" s="14"/>
    </row>
    <row r="1016" spans="3:3" x14ac:dyDescent="0.3">
      <c r="C1016" s="14"/>
    </row>
    <row r="1017" spans="3:3" x14ac:dyDescent="0.3">
      <c r="C1017" s="14"/>
    </row>
    <row r="1018" spans="3:3" x14ac:dyDescent="0.3">
      <c r="C1018" s="14"/>
    </row>
    <row r="1019" spans="3:3" x14ac:dyDescent="0.3">
      <c r="C1019" s="14"/>
    </row>
    <row r="1020" spans="3:3" x14ac:dyDescent="0.3">
      <c r="C1020" s="14"/>
    </row>
    <row r="1021" spans="3:3" x14ac:dyDescent="0.3">
      <c r="C1021" s="14"/>
    </row>
    <row r="1022" spans="3:3" x14ac:dyDescent="0.3">
      <c r="C1022" s="14"/>
    </row>
    <row r="1023" spans="3:3" x14ac:dyDescent="0.3">
      <c r="C1023" s="14"/>
    </row>
    <row r="1024" spans="3:3" x14ac:dyDescent="0.3">
      <c r="C1024" s="14"/>
    </row>
    <row r="1025" spans="3:3" x14ac:dyDescent="0.3">
      <c r="C1025" s="14"/>
    </row>
    <row r="1026" spans="3:3" x14ac:dyDescent="0.3">
      <c r="C1026" s="14"/>
    </row>
    <row r="1027" spans="3:3" x14ac:dyDescent="0.3">
      <c r="C1027" s="14"/>
    </row>
    <row r="1028" spans="3:3" x14ac:dyDescent="0.3">
      <c r="C1028" s="14"/>
    </row>
    <row r="1029" spans="3:3" x14ac:dyDescent="0.3">
      <c r="C1029" s="14"/>
    </row>
    <row r="1030" spans="3:3" x14ac:dyDescent="0.3">
      <c r="C1030" s="14"/>
    </row>
    <row r="1031" spans="3:3" x14ac:dyDescent="0.3">
      <c r="C1031" s="14"/>
    </row>
    <row r="1032" spans="3:3" x14ac:dyDescent="0.3">
      <c r="C1032" s="14"/>
    </row>
    <row r="1033" spans="3:3" x14ac:dyDescent="0.3">
      <c r="C1033" s="14"/>
    </row>
    <row r="1034" spans="3:3" x14ac:dyDescent="0.3">
      <c r="C1034" s="14"/>
    </row>
    <row r="1035" spans="3:3" x14ac:dyDescent="0.3">
      <c r="C1035" s="14"/>
    </row>
    <row r="1036" spans="3:3" x14ac:dyDescent="0.3">
      <c r="C1036" s="14"/>
    </row>
    <row r="1037" spans="3:3" x14ac:dyDescent="0.3">
      <c r="C1037" s="14"/>
    </row>
    <row r="1038" spans="3:3" x14ac:dyDescent="0.3">
      <c r="C1038" s="14"/>
    </row>
    <row r="1039" spans="3:3" x14ac:dyDescent="0.3">
      <c r="C1039" s="14"/>
    </row>
    <row r="1040" spans="3:3" x14ac:dyDescent="0.3">
      <c r="C1040" s="14"/>
    </row>
    <row r="1041" spans="3:3" x14ac:dyDescent="0.3">
      <c r="C1041" s="14"/>
    </row>
    <row r="1042" spans="3:3" x14ac:dyDescent="0.3">
      <c r="C1042" s="14"/>
    </row>
    <row r="1043" spans="3:3" x14ac:dyDescent="0.3">
      <c r="C1043" s="14"/>
    </row>
    <row r="1044" spans="3:3" x14ac:dyDescent="0.3">
      <c r="C1044" s="14"/>
    </row>
    <row r="1045" spans="3:3" x14ac:dyDescent="0.3">
      <c r="C1045" s="14"/>
    </row>
    <row r="1046" spans="3:3" x14ac:dyDescent="0.3">
      <c r="C1046" s="14"/>
    </row>
    <row r="1047" spans="3:3" x14ac:dyDescent="0.3">
      <c r="C1047" s="14"/>
    </row>
    <row r="1048" spans="3:3" x14ac:dyDescent="0.3">
      <c r="C1048" s="14"/>
    </row>
    <row r="1049" spans="3:3" x14ac:dyDescent="0.3">
      <c r="C1049" s="14"/>
    </row>
    <row r="1050" spans="3:3" x14ac:dyDescent="0.3">
      <c r="C1050" s="14"/>
    </row>
    <row r="1051" spans="3:3" x14ac:dyDescent="0.3">
      <c r="C1051" s="14"/>
    </row>
    <row r="1052" spans="3:3" x14ac:dyDescent="0.3">
      <c r="C1052" s="14"/>
    </row>
    <row r="1053" spans="3:3" x14ac:dyDescent="0.3">
      <c r="C1053" s="14"/>
    </row>
    <row r="1054" spans="3:3" x14ac:dyDescent="0.3">
      <c r="C1054" s="14"/>
    </row>
    <row r="1055" spans="3:3" x14ac:dyDescent="0.3">
      <c r="C1055" s="14"/>
    </row>
    <row r="1056" spans="3:3" x14ac:dyDescent="0.3">
      <c r="C1056" s="14"/>
    </row>
    <row r="1057" spans="3:3" x14ac:dyDescent="0.3">
      <c r="C1057" s="14"/>
    </row>
    <row r="1058" spans="3:3" x14ac:dyDescent="0.3">
      <c r="C1058" s="14"/>
    </row>
    <row r="1059" spans="3:3" x14ac:dyDescent="0.3">
      <c r="C1059" s="14"/>
    </row>
    <row r="1060" spans="3:3" x14ac:dyDescent="0.3">
      <c r="C1060" s="14"/>
    </row>
    <row r="1061" spans="3:3" x14ac:dyDescent="0.3">
      <c r="C1061" s="14"/>
    </row>
    <row r="1062" spans="3:3" x14ac:dyDescent="0.3">
      <c r="C1062" s="14"/>
    </row>
    <row r="1063" spans="3:3" x14ac:dyDescent="0.3">
      <c r="C1063" s="14"/>
    </row>
    <row r="1064" spans="3:3" x14ac:dyDescent="0.3">
      <c r="C1064" s="14"/>
    </row>
    <row r="1065" spans="3:3" x14ac:dyDescent="0.3">
      <c r="C1065" s="14"/>
    </row>
    <row r="1066" spans="3:3" x14ac:dyDescent="0.3">
      <c r="C1066" s="14"/>
    </row>
    <row r="1067" spans="3:3" x14ac:dyDescent="0.3">
      <c r="C1067" s="14"/>
    </row>
    <row r="1068" spans="3:3" x14ac:dyDescent="0.3">
      <c r="C1068" s="14"/>
    </row>
    <row r="1069" spans="3:3" x14ac:dyDescent="0.3">
      <c r="C1069" s="14"/>
    </row>
    <row r="1070" spans="3:3" x14ac:dyDescent="0.3">
      <c r="C1070" s="14"/>
    </row>
    <row r="1071" spans="3:3" x14ac:dyDescent="0.3">
      <c r="C1071" s="14"/>
    </row>
    <row r="1072" spans="3:3" x14ac:dyDescent="0.3">
      <c r="C1072" s="14"/>
    </row>
    <row r="1073" spans="3:3" x14ac:dyDescent="0.3">
      <c r="C1073" s="14"/>
    </row>
    <row r="1074" spans="3:3" x14ac:dyDescent="0.3">
      <c r="C1074" s="14"/>
    </row>
    <row r="1075" spans="3:3" x14ac:dyDescent="0.3">
      <c r="C1075" s="14"/>
    </row>
    <row r="1076" spans="3:3" x14ac:dyDescent="0.3">
      <c r="C1076" s="14"/>
    </row>
    <row r="1077" spans="3:3" x14ac:dyDescent="0.3">
      <c r="C1077" s="14"/>
    </row>
    <row r="1078" spans="3:3" x14ac:dyDescent="0.3">
      <c r="C1078" s="14"/>
    </row>
    <row r="1079" spans="3:3" x14ac:dyDescent="0.3">
      <c r="C1079" s="14"/>
    </row>
    <row r="1080" spans="3:3" x14ac:dyDescent="0.3">
      <c r="C1080" s="14"/>
    </row>
    <row r="1081" spans="3:3" x14ac:dyDescent="0.3">
      <c r="C1081" s="14"/>
    </row>
    <row r="1082" spans="3:3" x14ac:dyDescent="0.3">
      <c r="C1082" s="14"/>
    </row>
    <row r="1083" spans="3:3" x14ac:dyDescent="0.3">
      <c r="C1083" s="14"/>
    </row>
    <row r="1084" spans="3:3" x14ac:dyDescent="0.3">
      <c r="C1084" s="14"/>
    </row>
    <row r="1085" spans="3:3" x14ac:dyDescent="0.3">
      <c r="C1085" s="14"/>
    </row>
    <row r="1086" spans="3:3" x14ac:dyDescent="0.3">
      <c r="C1086" s="14"/>
    </row>
    <row r="1087" spans="3:3" x14ac:dyDescent="0.3">
      <c r="C1087" s="14"/>
    </row>
    <row r="1088" spans="3:3" x14ac:dyDescent="0.3">
      <c r="C1088" s="14"/>
    </row>
    <row r="1089" spans="3:3" x14ac:dyDescent="0.3">
      <c r="C1089" s="14"/>
    </row>
    <row r="1090" spans="3:3" x14ac:dyDescent="0.3">
      <c r="C1090" s="14"/>
    </row>
    <row r="1091" spans="3:3" x14ac:dyDescent="0.3">
      <c r="C1091" s="14"/>
    </row>
    <row r="1092" spans="3:3" x14ac:dyDescent="0.3">
      <c r="C1092" s="14"/>
    </row>
    <row r="1093" spans="3:3" x14ac:dyDescent="0.3">
      <c r="C1093" s="14"/>
    </row>
    <row r="1094" spans="3:3" x14ac:dyDescent="0.3">
      <c r="C1094" s="14"/>
    </row>
    <row r="1095" spans="3:3" x14ac:dyDescent="0.3">
      <c r="C1095" s="14"/>
    </row>
    <row r="1096" spans="3:3" x14ac:dyDescent="0.3">
      <c r="C1096" s="14"/>
    </row>
    <row r="1097" spans="3:3" x14ac:dyDescent="0.3">
      <c r="C1097" s="14"/>
    </row>
    <row r="1098" spans="3:3" x14ac:dyDescent="0.3">
      <c r="C1098" s="14"/>
    </row>
    <row r="1099" spans="3:3" x14ac:dyDescent="0.3">
      <c r="C1099" s="14"/>
    </row>
    <row r="1100" spans="3:3" x14ac:dyDescent="0.3">
      <c r="C1100" s="14"/>
    </row>
    <row r="1101" spans="3:3" x14ac:dyDescent="0.3">
      <c r="C1101" s="14"/>
    </row>
    <row r="1102" spans="3:3" x14ac:dyDescent="0.3">
      <c r="C1102" s="14"/>
    </row>
    <row r="1103" spans="3:3" x14ac:dyDescent="0.3">
      <c r="C1103" s="14"/>
    </row>
    <row r="1104" spans="3:3" x14ac:dyDescent="0.3">
      <c r="C1104" s="14"/>
    </row>
    <row r="1105" spans="3:3" x14ac:dyDescent="0.3">
      <c r="C1105" s="14"/>
    </row>
    <row r="1106" spans="3:3" x14ac:dyDescent="0.3">
      <c r="C1106" s="14"/>
    </row>
    <row r="1107" spans="3:3" x14ac:dyDescent="0.3">
      <c r="C1107" s="14"/>
    </row>
    <row r="1108" spans="3:3" x14ac:dyDescent="0.3">
      <c r="C1108" s="14"/>
    </row>
    <row r="1109" spans="3:3" x14ac:dyDescent="0.3">
      <c r="C1109" s="14"/>
    </row>
    <row r="1110" spans="3:3" x14ac:dyDescent="0.3">
      <c r="C1110" s="14"/>
    </row>
    <row r="1111" spans="3:3" x14ac:dyDescent="0.3">
      <c r="C1111" s="14"/>
    </row>
    <row r="1112" spans="3:3" x14ac:dyDescent="0.3">
      <c r="C1112" s="14"/>
    </row>
    <row r="1113" spans="3:3" x14ac:dyDescent="0.3">
      <c r="C1113" s="14"/>
    </row>
    <row r="1114" spans="3:3" x14ac:dyDescent="0.3">
      <c r="C1114" s="14"/>
    </row>
    <row r="1115" spans="3:3" x14ac:dyDescent="0.3">
      <c r="C1115" s="14"/>
    </row>
    <row r="1116" spans="3:3" x14ac:dyDescent="0.3">
      <c r="C1116" s="14"/>
    </row>
    <row r="1117" spans="3:3" x14ac:dyDescent="0.3">
      <c r="C1117" s="14"/>
    </row>
    <row r="1118" spans="3:3" x14ac:dyDescent="0.3">
      <c r="C1118" s="14"/>
    </row>
    <row r="1119" spans="3:3" x14ac:dyDescent="0.3">
      <c r="C1119" s="14"/>
    </row>
    <row r="1120" spans="3:3" x14ac:dyDescent="0.3">
      <c r="C1120" s="14"/>
    </row>
    <row r="1121" spans="3:3" x14ac:dyDescent="0.3">
      <c r="C1121" s="14"/>
    </row>
    <row r="1122" spans="3:3" x14ac:dyDescent="0.3">
      <c r="C1122" s="14"/>
    </row>
    <row r="1123" spans="3:3" x14ac:dyDescent="0.3">
      <c r="C1123" s="14"/>
    </row>
    <row r="1124" spans="3:3" x14ac:dyDescent="0.3">
      <c r="C1124" s="14"/>
    </row>
    <row r="1125" spans="3:3" x14ac:dyDescent="0.3">
      <c r="C1125" s="14"/>
    </row>
    <row r="1126" spans="3:3" x14ac:dyDescent="0.3">
      <c r="C1126" s="14"/>
    </row>
    <row r="1127" spans="3:3" x14ac:dyDescent="0.3">
      <c r="C1127" s="14"/>
    </row>
    <row r="1128" spans="3:3" x14ac:dyDescent="0.3">
      <c r="C1128" s="14"/>
    </row>
    <row r="1129" spans="3:3" x14ac:dyDescent="0.3">
      <c r="C1129" s="14"/>
    </row>
    <row r="1130" spans="3:3" x14ac:dyDescent="0.3">
      <c r="C1130" s="14"/>
    </row>
    <row r="1131" spans="3:3" x14ac:dyDescent="0.3">
      <c r="C1131" s="14"/>
    </row>
    <row r="1132" spans="3:3" x14ac:dyDescent="0.3">
      <c r="C1132" s="14"/>
    </row>
    <row r="1133" spans="3:3" x14ac:dyDescent="0.3">
      <c r="C1133" s="14"/>
    </row>
    <row r="1134" spans="3:3" x14ac:dyDescent="0.3">
      <c r="C1134" s="14"/>
    </row>
    <row r="1135" spans="3:3" x14ac:dyDescent="0.3">
      <c r="C1135" s="14"/>
    </row>
    <row r="1136" spans="3:3" x14ac:dyDescent="0.3">
      <c r="C1136" s="14"/>
    </row>
    <row r="1137" spans="3:3" x14ac:dyDescent="0.3">
      <c r="C1137" s="14"/>
    </row>
    <row r="1138" spans="3:3" x14ac:dyDescent="0.3">
      <c r="C1138" s="14"/>
    </row>
    <row r="1139" spans="3:3" x14ac:dyDescent="0.3">
      <c r="C1139" s="14"/>
    </row>
    <row r="1140" spans="3:3" x14ac:dyDescent="0.3">
      <c r="C1140" s="14"/>
    </row>
    <row r="1141" spans="3:3" x14ac:dyDescent="0.3">
      <c r="C1141" s="14"/>
    </row>
    <row r="1142" spans="3:3" x14ac:dyDescent="0.3">
      <c r="C1142" s="14"/>
    </row>
    <row r="1143" spans="3:3" x14ac:dyDescent="0.3">
      <c r="C1143" s="14"/>
    </row>
    <row r="1144" spans="3:3" x14ac:dyDescent="0.3">
      <c r="C1144" s="14"/>
    </row>
    <row r="1145" spans="3:3" x14ac:dyDescent="0.3">
      <c r="C1145" s="14"/>
    </row>
    <row r="1146" spans="3:3" x14ac:dyDescent="0.3">
      <c r="C1146" s="14"/>
    </row>
    <row r="1147" spans="3:3" x14ac:dyDescent="0.3">
      <c r="C1147" s="14"/>
    </row>
    <row r="1148" spans="3:3" x14ac:dyDescent="0.3">
      <c r="C1148" s="14"/>
    </row>
    <row r="1149" spans="3:3" x14ac:dyDescent="0.3">
      <c r="C1149" s="14"/>
    </row>
    <row r="1150" spans="3:3" x14ac:dyDescent="0.3">
      <c r="C1150" s="14"/>
    </row>
    <row r="1151" spans="3:3" x14ac:dyDescent="0.3">
      <c r="C1151" s="14"/>
    </row>
    <row r="1152" spans="3:3" x14ac:dyDescent="0.3">
      <c r="C1152" s="14"/>
    </row>
    <row r="1153" spans="3:3" x14ac:dyDescent="0.3">
      <c r="C1153" s="14"/>
    </row>
    <row r="1154" spans="3:3" x14ac:dyDescent="0.3">
      <c r="C1154" s="14"/>
    </row>
    <row r="1155" spans="3:3" x14ac:dyDescent="0.3">
      <c r="C1155" s="14"/>
    </row>
    <row r="1156" spans="3:3" x14ac:dyDescent="0.3">
      <c r="C1156" s="14"/>
    </row>
    <row r="1157" spans="3:3" x14ac:dyDescent="0.3">
      <c r="C1157" s="14"/>
    </row>
    <row r="1158" spans="3:3" x14ac:dyDescent="0.3">
      <c r="C1158" s="14"/>
    </row>
    <row r="1159" spans="3:3" x14ac:dyDescent="0.3">
      <c r="C1159" s="14"/>
    </row>
    <row r="1160" spans="3:3" x14ac:dyDescent="0.3">
      <c r="C1160" s="14"/>
    </row>
    <row r="1161" spans="3:3" x14ac:dyDescent="0.3">
      <c r="C1161" s="14"/>
    </row>
    <row r="1162" spans="3:3" x14ac:dyDescent="0.3">
      <c r="C1162" s="14"/>
    </row>
    <row r="1163" spans="3:3" x14ac:dyDescent="0.3">
      <c r="C1163" s="14"/>
    </row>
    <row r="1164" spans="3:3" x14ac:dyDescent="0.3">
      <c r="C1164" s="14"/>
    </row>
    <row r="1165" spans="3:3" x14ac:dyDescent="0.3">
      <c r="C1165" s="14"/>
    </row>
    <row r="1166" spans="3:3" x14ac:dyDescent="0.3">
      <c r="C1166" s="14"/>
    </row>
    <row r="1167" spans="3:3" x14ac:dyDescent="0.3">
      <c r="C1167" s="14"/>
    </row>
    <row r="1168" spans="3:3" x14ac:dyDescent="0.3">
      <c r="C1168" s="14"/>
    </row>
    <row r="1169" spans="3:3" x14ac:dyDescent="0.3">
      <c r="C1169" s="14"/>
    </row>
    <row r="1170" spans="3:3" x14ac:dyDescent="0.3">
      <c r="C1170" s="14"/>
    </row>
    <row r="1171" spans="3:3" x14ac:dyDescent="0.3">
      <c r="C1171" s="14"/>
    </row>
    <row r="1172" spans="3:3" x14ac:dyDescent="0.3">
      <c r="C1172" s="14"/>
    </row>
    <row r="1173" spans="3:3" x14ac:dyDescent="0.3">
      <c r="C1173" s="14"/>
    </row>
    <row r="1174" spans="3:3" x14ac:dyDescent="0.3">
      <c r="C1174" s="14"/>
    </row>
    <row r="1175" spans="3:3" x14ac:dyDescent="0.3">
      <c r="C1175" s="14"/>
    </row>
    <row r="1176" spans="3:3" x14ac:dyDescent="0.3">
      <c r="C1176" s="14"/>
    </row>
    <row r="1177" spans="3:3" x14ac:dyDescent="0.3">
      <c r="C1177" s="14"/>
    </row>
    <row r="1178" spans="3:3" x14ac:dyDescent="0.3">
      <c r="C1178" s="14"/>
    </row>
    <row r="1179" spans="3:3" x14ac:dyDescent="0.3">
      <c r="C1179" s="14"/>
    </row>
    <row r="1180" spans="3:3" x14ac:dyDescent="0.3">
      <c r="C1180" s="14"/>
    </row>
    <row r="1181" spans="3:3" x14ac:dyDescent="0.3">
      <c r="C1181" s="14"/>
    </row>
    <row r="1182" spans="3:3" x14ac:dyDescent="0.3">
      <c r="C1182" s="14"/>
    </row>
    <row r="1183" spans="3:3" x14ac:dyDescent="0.3">
      <c r="C1183" s="14"/>
    </row>
    <row r="1184" spans="3:3" x14ac:dyDescent="0.3">
      <c r="C1184" s="14"/>
    </row>
    <row r="1185" spans="3:3" x14ac:dyDescent="0.3">
      <c r="C1185" s="14"/>
    </row>
    <row r="1186" spans="3:3" x14ac:dyDescent="0.3">
      <c r="C1186" s="14"/>
    </row>
    <row r="1187" spans="3:3" x14ac:dyDescent="0.3">
      <c r="C1187" s="14"/>
    </row>
    <row r="1188" spans="3:3" x14ac:dyDescent="0.3">
      <c r="C1188" s="14"/>
    </row>
    <row r="1189" spans="3:3" x14ac:dyDescent="0.3">
      <c r="C1189" s="14"/>
    </row>
    <row r="1190" spans="3:3" x14ac:dyDescent="0.3">
      <c r="C1190" s="14"/>
    </row>
    <row r="1191" spans="3:3" x14ac:dyDescent="0.3">
      <c r="C1191" s="14"/>
    </row>
    <row r="1192" spans="3:3" x14ac:dyDescent="0.3">
      <c r="C1192" s="14"/>
    </row>
    <row r="1193" spans="3:3" x14ac:dyDescent="0.3">
      <c r="C1193" s="14"/>
    </row>
    <row r="1194" spans="3:3" x14ac:dyDescent="0.3">
      <c r="C1194" s="14"/>
    </row>
    <row r="1195" spans="3:3" x14ac:dyDescent="0.3">
      <c r="C1195" s="14"/>
    </row>
    <row r="1196" spans="3:3" x14ac:dyDescent="0.3">
      <c r="C1196" s="14"/>
    </row>
    <row r="1197" spans="3:3" x14ac:dyDescent="0.3">
      <c r="C1197" s="14"/>
    </row>
    <row r="1198" spans="3:3" x14ac:dyDescent="0.3">
      <c r="C1198" s="14"/>
    </row>
    <row r="1199" spans="3:3" x14ac:dyDescent="0.3">
      <c r="C1199" s="14"/>
    </row>
    <row r="1200" spans="3:3" x14ac:dyDescent="0.3">
      <c r="C1200" s="14"/>
    </row>
    <row r="1201" spans="3:3" x14ac:dyDescent="0.3">
      <c r="C1201" s="14"/>
    </row>
    <row r="1202" spans="3:3" x14ac:dyDescent="0.3">
      <c r="C1202" s="14"/>
    </row>
    <row r="1203" spans="3:3" x14ac:dyDescent="0.3">
      <c r="C1203" s="14"/>
    </row>
    <row r="1204" spans="3:3" x14ac:dyDescent="0.3">
      <c r="C1204" s="14"/>
    </row>
    <row r="1205" spans="3:3" x14ac:dyDescent="0.3">
      <c r="C1205" s="14"/>
    </row>
    <row r="1206" spans="3:3" x14ac:dyDescent="0.3">
      <c r="C1206" s="14"/>
    </row>
    <row r="1207" spans="3:3" x14ac:dyDescent="0.3">
      <c r="C1207" s="14"/>
    </row>
    <row r="1208" spans="3:3" x14ac:dyDescent="0.3">
      <c r="C1208" s="14"/>
    </row>
    <row r="1209" spans="3:3" x14ac:dyDescent="0.3">
      <c r="C1209" s="14"/>
    </row>
    <row r="1210" spans="3:3" x14ac:dyDescent="0.3">
      <c r="C1210" s="14"/>
    </row>
    <row r="1211" spans="3:3" x14ac:dyDescent="0.3">
      <c r="C1211" s="14"/>
    </row>
    <row r="1212" spans="3:3" x14ac:dyDescent="0.3">
      <c r="C1212" s="14"/>
    </row>
    <row r="1213" spans="3:3" x14ac:dyDescent="0.3">
      <c r="C1213" s="14"/>
    </row>
    <row r="1214" spans="3:3" x14ac:dyDescent="0.3">
      <c r="C1214" s="14"/>
    </row>
    <row r="1215" spans="3:3" x14ac:dyDescent="0.3">
      <c r="C1215" s="14"/>
    </row>
    <row r="1216" spans="3:3" x14ac:dyDescent="0.3">
      <c r="C1216" s="14"/>
    </row>
    <row r="1217" spans="3:3" x14ac:dyDescent="0.3">
      <c r="C1217" s="14"/>
    </row>
    <row r="1218" spans="3:3" x14ac:dyDescent="0.3">
      <c r="C1218" s="14"/>
    </row>
    <row r="1219" spans="3:3" x14ac:dyDescent="0.3">
      <c r="C1219" s="14"/>
    </row>
    <row r="1220" spans="3:3" x14ac:dyDescent="0.3">
      <c r="C1220" s="14"/>
    </row>
    <row r="1221" spans="3:3" x14ac:dyDescent="0.3">
      <c r="C1221" s="14"/>
    </row>
    <row r="1222" spans="3:3" x14ac:dyDescent="0.3">
      <c r="C1222" s="14"/>
    </row>
    <row r="1223" spans="3:3" x14ac:dyDescent="0.3">
      <c r="C1223" s="14"/>
    </row>
    <row r="1224" spans="3:3" x14ac:dyDescent="0.3">
      <c r="C1224" s="14"/>
    </row>
    <row r="1225" spans="3:3" x14ac:dyDescent="0.3">
      <c r="C1225" s="14"/>
    </row>
    <row r="1226" spans="3:3" x14ac:dyDescent="0.3">
      <c r="C1226" s="14"/>
    </row>
    <row r="1227" spans="3:3" x14ac:dyDescent="0.3">
      <c r="C1227" s="14"/>
    </row>
    <row r="1228" spans="3:3" x14ac:dyDescent="0.3">
      <c r="C1228" s="14"/>
    </row>
    <row r="1229" spans="3:3" x14ac:dyDescent="0.3">
      <c r="C1229" s="14"/>
    </row>
    <row r="1230" spans="3:3" x14ac:dyDescent="0.3">
      <c r="C1230" s="14"/>
    </row>
    <row r="1231" spans="3:3" x14ac:dyDescent="0.3">
      <c r="C1231" s="14"/>
    </row>
    <row r="1232" spans="3:3" x14ac:dyDescent="0.3">
      <c r="C1232" s="14"/>
    </row>
    <row r="1233" spans="3:3" x14ac:dyDescent="0.3">
      <c r="C1233" s="14"/>
    </row>
    <row r="1234" spans="3:3" x14ac:dyDescent="0.3">
      <c r="C1234" s="14"/>
    </row>
    <row r="1235" spans="3:3" x14ac:dyDescent="0.3">
      <c r="C1235" s="14"/>
    </row>
    <row r="1236" spans="3:3" x14ac:dyDescent="0.3">
      <c r="C1236" s="14"/>
    </row>
    <row r="1237" spans="3:3" x14ac:dyDescent="0.3">
      <c r="C1237" s="14"/>
    </row>
    <row r="1238" spans="3:3" x14ac:dyDescent="0.3">
      <c r="C1238" s="14"/>
    </row>
    <row r="1239" spans="3:3" x14ac:dyDescent="0.3">
      <c r="C1239" s="14"/>
    </row>
    <row r="1240" spans="3:3" x14ac:dyDescent="0.3">
      <c r="C1240" s="14"/>
    </row>
    <row r="1241" spans="3:3" x14ac:dyDescent="0.3">
      <c r="C1241" s="14"/>
    </row>
    <row r="1242" spans="3:3" x14ac:dyDescent="0.3">
      <c r="C1242" s="14"/>
    </row>
    <row r="1243" spans="3:3" x14ac:dyDescent="0.3">
      <c r="C1243" s="14"/>
    </row>
    <row r="1244" spans="3:3" x14ac:dyDescent="0.3">
      <c r="C1244" s="14"/>
    </row>
    <row r="1245" spans="3:3" x14ac:dyDescent="0.3">
      <c r="C1245" s="14"/>
    </row>
    <row r="1246" spans="3:3" x14ac:dyDescent="0.3">
      <c r="C1246" s="14"/>
    </row>
    <row r="1247" spans="3:3" x14ac:dyDescent="0.3">
      <c r="C1247" s="14"/>
    </row>
    <row r="1248" spans="3:3" x14ac:dyDescent="0.3">
      <c r="C1248" s="14"/>
    </row>
    <row r="1249" spans="3:3" x14ac:dyDescent="0.3">
      <c r="C1249" s="14"/>
    </row>
    <row r="1250" spans="3:3" x14ac:dyDescent="0.3">
      <c r="C1250" s="14"/>
    </row>
    <row r="1251" spans="3:3" x14ac:dyDescent="0.3">
      <c r="C1251" s="14"/>
    </row>
    <row r="1252" spans="3:3" x14ac:dyDescent="0.3">
      <c r="C1252" s="14"/>
    </row>
    <row r="1253" spans="3:3" x14ac:dyDescent="0.3">
      <c r="C1253" s="14"/>
    </row>
    <row r="1254" spans="3:3" x14ac:dyDescent="0.3">
      <c r="C1254" s="14"/>
    </row>
    <row r="1255" spans="3:3" x14ac:dyDescent="0.3">
      <c r="C1255" s="14"/>
    </row>
    <row r="1256" spans="3:3" x14ac:dyDescent="0.3">
      <c r="C1256" s="14"/>
    </row>
    <row r="1257" spans="3:3" x14ac:dyDescent="0.3">
      <c r="C1257" s="14"/>
    </row>
    <row r="1258" spans="3:3" x14ac:dyDescent="0.3">
      <c r="C1258" s="14"/>
    </row>
    <row r="1259" spans="3:3" x14ac:dyDescent="0.3">
      <c r="C1259" s="14"/>
    </row>
    <row r="1260" spans="3:3" x14ac:dyDescent="0.3">
      <c r="C1260" s="14"/>
    </row>
    <row r="1261" spans="3:3" x14ac:dyDescent="0.3">
      <c r="C1261" s="14"/>
    </row>
    <row r="1262" spans="3:3" x14ac:dyDescent="0.3">
      <c r="C1262" s="14"/>
    </row>
    <row r="1263" spans="3:3" x14ac:dyDescent="0.3">
      <c r="C1263" s="14"/>
    </row>
    <row r="1264" spans="3:3" x14ac:dyDescent="0.3">
      <c r="C1264" s="14"/>
    </row>
    <row r="1265" spans="3:3" x14ac:dyDescent="0.3">
      <c r="C1265" s="14"/>
    </row>
    <row r="1266" spans="3:3" x14ac:dyDescent="0.3">
      <c r="C1266" s="14"/>
    </row>
    <row r="1267" spans="3:3" x14ac:dyDescent="0.3">
      <c r="C1267" s="14"/>
    </row>
    <row r="1268" spans="3:3" x14ac:dyDescent="0.3">
      <c r="C1268" s="14"/>
    </row>
    <row r="1269" spans="3:3" x14ac:dyDescent="0.3">
      <c r="C1269" s="14"/>
    </row>
    <row r="1270" spans="3:3" x14ac:dyDescent="0.3">
      <c r="C1270" s="14"/>
    </row>
    <row r="1271" spans="3:3" x14ac:dyDescent="0.3">
      <c r="C1271" s="14"/>
    </row>
    <row r="1272" spans="3:3" x14ac:dyDescent="0.3">
      <c r="C1272" s="14"/>
    </row>
    <row r="1273" spans="3:3" x14ac:dyDescent="0.3">
      <c r="C1273" s="14"/>
    </row>
    <row r="1274" spans="3:3" x14ac:dyDescent="0.3">
      <c r="C1274" s="14"/>
    </row>
    <row r="1275" spans="3:3" x14ac:dyDescent="0.3">
      <c r="C1275" s="14"/>
    </row>
    <row r="1276" spans="3:3" x14ac:dyDescent="0.3">
      <c r="C1276" s="14"/>
    </row>
    <row r="1277" spans="3:3" x14ac:dyDescent="0.3">
      <c r="C1277" s="14"/>
    </row>
    <row r="1278" spans="3:3" x14ac:dyDescent="0.3">
      <c r="C1278" s="14"/>
    </row>
    <row r="1279" spans="3:3" x14ac:dyDescent="0.3">
      <c r="C1279" s="14"/>
    </row>
    <row r="1280" spans="3:3" x14ac:dyDescent="0.3">
      <c r="C1280" s="14"/>
    </row>
    <row r="1281" spans="3:3" x14ac:dyDescent="0.3">
      <c r="C1281" s="14"/>
    </row>
    <row r="1282" spans="3:3" x14ac:dyDescent="0.3">
      <c r="C1282" s="14"/>
    </row>
    <row r="1283" spans="3:3" x14ac:dyDescent="0.3">
      <c r="C1283" s="14"/>
    </row>
    <row r="1284" spans="3:3" x14ac:dyDescent="0.3">
      <c r="C1284" s="14"/>
    </row>
    <row r="1285" spans="3:3" x14ac:dyDescent="0.3">
      <c r="C1285" s="14"/>
    </row>
    <row r="1286" spans="3:3" x14ac:dyDescent="0.3">
      <c r="C1286" s="14"/>
    </row>
    <row r="1287" spans="3:3" x14ac:dyDescent="0.3">
      <c r="C1287" s="14"/>
    </row>
    <row r="1288" spans="3:3" x14ac:dyDescent="0.3">
      <c r="C1288" s="14"/>
    </row>
    <row r="1289" spans="3:3" x14ac:dyDescent="0.3">
      <c r="C1289" s="14"/>
    </row>
    <row r="1290" spans="3:3" x14ac:dyDescent="0.3">
      <c r="C1290" s="14"/>
    </row>
    <row r="1291" spans="3:3" x14ac:dyDescent="0.3">
      <c r="C1291" s="14"/>
    </row>
    <row r="1292" spans="3:3" x14ac:dyDescent="0.3">
      <c r="C1292" s="14"/>
    </row>
    <row r="1293" spans="3:3" x14ac:dyDescent="0.3">
      <c r="C1293" s="14"/>
    </row>
    <row r="1294" spans="3:3" x14ac:dyDescent="0.3">
      <c r="C1294" s="14"/>
    </row>
    <row r="1295" spans="3:3" x14ac:dyDescent="0.3">
      <c r="C1295" s="14"/>
    </row>
    <row r="1296" spans="3:3" x14ac:dyDescent="0.3">
      <c r="C1296" s="14"/>
    </row>
    <row r="1297" spans="3:3" x14ac:dyDescent="0.3">
      <c r="C1297" s="14"/>
    </row>
    <row r="1298" spans="3:3" x14ac:dyDescent="0.3">
      <c r="C1298" s="14"/>
    </row>
    <row r="1299" spans="3:3" x14ac:dyDescent="0.3">
      <c r="C1299" s="14"/>
    </row>
    <row r="1300" spans="3:3" x14ac:dyDescent="0.3">
      <c r="C1300" s="14"/>
    </row>
    <row r="1301" spans="3:3" x14ac:dyDescent="0.3">
      <c r="C1301" s="14"/>
    </row>
    <row r="1302" spans="3:3" x14ac:dyDescent="0.3">
      <c r="C1302" s="14"/>
    </row>
    <row r="1303" spans="3:3" x14ac:dyDescent="0.3">
      <c r="C1303" s="14"/>
    </row>
    <row r="1304" spans="3:3" x14ac:dyDescent="0.3">
      <c r="C1304" s="14"/>
    </row>
    <row r="1305" spans="3:3" x14ac:dyDescent="0.3">
      <c r="C1305" s="14"/>
    </row>
    <row r="1306" spans="3:3" x14ac:dyDescent="0.3">
      <c r="C1306" s="14"/>
    </row>
    <row r="1307" spans="3:3" x14ac:dyDescent="0.3">
      <c r="C1307" s="14"/>
    </row>
    <row r="1308" spans="3:3" x14ac:dyDescent="0.3">
      <c r="C1308" s="14"/>
    </row>
    <row r="1309" spans="3:3" x14ac:dyDescent="0.3">
      <c r="C1309" s="14"/>
    </row>
    <row r="1310" spans="3:3" x14ac:dyDescent="0.3">
      <c r="C1310" s="14"/>
    </row>
    <row r="1311" spans="3:3" x14ac:dyDescent="0.3">
      <c r="C1311" s="14"/>
    </row>
    <row r="1312" spans="3:3" x14ac:dyDescent="0.3">
      <c r="C1312" s="14"/>
    </row>
    <row r="1313" spans="3:3" x14ac:dyDescent="0.3">
      <c r="C1313" s="14"/>
    </row>
    <row r="1314" spans="3:3" x14ac:dyDescent="0.3">
      <c r="C1314" s="14"/>
    </row>
    <row r="1315" spans="3:3" x14ac:dyDescent="0.3">
      <c r="C1315" s="14"/>
    </row>
    <row r="1316" spans="3:3" x14ac:dyDescent="0.3">
      <c r="C1316" s="14"/>
    </row>
    <row r="1317" spans="3:3" x14ac:dyDescent="0.3">
      <c r="C1317" s="14"/>
    </row>
    <row r="1318" spans="3:3" x14ac:dyDescent="0.3">
      <c r="C1318" s="14"/>
    </row>
    <row r="1319" spans="3:3" x14ac:dyDescent="0.3">
      <c r="C1319" s="14"/>
    </row>
    <row r="1320" spans="3:3" x14ac:dyDescent="0.3">
      <c r="C1320" s="14"/>
    </row>
    <row r="1321" spans="3:3" x14ac:dyDescent="0.3">
      <c r="C1321" s="14"/>
    </row>
    <row r="1322" spans="3:3" x14ac:dyDescent="0.3">
      <c r="C1322" s="14"/>
    </row>
    <row r="1323" spans="3:3" x14ac:dyDescent="0.3">
      <c r="C1323" s="14"/>
    </row>
    <row r="1324" spans="3:3" x14ac:dyDescent="0.3">
      <c r="C1324" s="14"/>
    </row>
    <row r="1325" spans="3:3" x14ac:dyDescent="0.3">
      <c r="C1325" s="14"/>
    </row>
    <row r="1326" spans="3:3" x14ac:dyDescent="0.3">
      <c r="C1326" s="14"/>
    </row>
    <row r="1327" spans="3:3" x14ac:dyDescent="0.3">
      <c r="C1327" s="14"/>
    </row>
    <row r="1328" spans="3:3" x14ac:dyDescent="0.3">
      <c r="C1328" s="14"/>
    </row>
    <row r="1329" spans="3:3" x14ac:dyDescent="0.3">
      <c r="C1329" s="14"/>
    </row>
    <row r="1330" spans="3:3" x14ac:dyDescent="0.3">
      <c r="C1330" s="14"/>
    </row>
    <row r="1331" spans="3:3" x14ac:dyDescent="0.3">
      <c r="C1331" s="14"/>
    </row>
    <row r="1332" spans="3:3" x14ac:dyDescent="0.3">
      <c r="C1332" s="14"/>
    </row>
    <row r="1333" spans="3:3" x14ac:dyDescent="0.3">
      <c r="C1333" s="14"/>
    </row>
    <row r="1334" spans="3:3" x14ac:dyDescent="0.3">
      <c r="C1334" s="14"/>
    </row>
    <row r="1335" spans="3:3" x14ac:dyDescent="0.3">
      <c r="C1335" s="14"/>
    </row>
    <row r="1336" spans="3:3" x14ac:dyDescent="0.3">
      <c r="C1336" s="14"/>
    </row>
    <row r="1337" spans="3:3" x14ac:dyDescent="0.3">
      <c r="C1337" s="14"/>
    </row>
    <row r="1338" spans="3:3" x14ac:dyDescent="0.3">
      <c r="C1338" s="14"/>
    </row>
    <row r="1339" spans="3:3" x14ac:dyDescent="0.3">
      <c r="C1339" s="14"/>
    </row>
    <row r="1340" spans="3:3" x14ac:dyDescent="0.3">
      <c r="C1340" s="14"/>
    </row>
    <row r="1341" spans="3:3" x14ac:dyDescent="0.3">
      <c r="C1341" s="14"/>
    </row>
    <row r="1342" spans="3:3" x14ac:dyDescent="0.3">
      <c r="C1342" s="14"/>
    </row>
    <row r="1343" spans="3:3" x14ac:dyDescent="0.3">
      <c r="C1343" s="14"/>
    </row>
    <row r="1344" spans="3:3" x14ac:dyDescent="0.3">
      <c r="C1344" s="14"/>
    </row>
    <row r="1345" spans="3:3" x14ac:dyDescent="0.3">
      <c r="C1345" s="14"/>
    </row>
    <row r="1346" spans="3:3" x14ac:dyDescent="0.3">
      <c r="C1346" s="14"/>
    </row>
    <row r="1347" spans="3:3" x14ac:dyDescent="0.3">
      <c r="C1347" s="14"/>
    </row>
    <row r="1348" spans="3:3" x14ac:dyDescent="0.3">
      <c r="C1348" s="14"/>
    </row>
    <row r="1349" spans="3:3" x14ac:dyDescent="0.3">
      <c r="C1349" s="14"/>
    </row>
    <row r="1350" spans="3:3" x14ac:dyDescent="0.3">
      <c r="C1350" s="14"/>
    </row>
    <row r="1351" spans="3:3" x14ac:dyDescent="0.3">
      <c r="C1351" s="14"/>
    </row>
    <row r="1352" spans="3:3" x14ac:dyDescent="0.3">
      <c r="C1352" s="14"/>
    </row>
    <row r="1353" spans="3:3" x14ac:dyDescent="0.3">
      <c r="C1353" s="14"/>
    </row>
    <row r="1354" spans="3:3" x14ac:dyDescent="0.3">
      <c r="C1354" s="14"/>
    </row>
    <row r="1355" spans="3:3" x14ac:dyDescent="0.3">
      <c r="C1355" s="14"/>
    </row>
    <row r="1356" spans="3:3" x14ac:dyDescent="0.3">
      <c r="C1356" s="14"/>
    </row>
    <row r="1357" spans="3:3" x14ac:dyDescent="0.3">
      <c r="C1357" s="14"/>
    </row>
    <row r="1358" spans="3:3" x14ac:dyDescent="0.3">
      <c r="C1358" s="14"/>
    </row>
    <row r="1359" spans="3:3" x14ac:dyDescent="0.3">
      <c r="C1359" s="14"/>
    </row>
    <row r="1360" spans="3:3" x14ac:dyDescent="0.3">
      <c r="C1360" s="14"/>
    </row>
    <row r="1361" spans="3:3" x14ac:dyDescent="0.3">
      <c r="C1361" s="14"/>
    </row>
    <row r="1362" spans="3:3" x14ac:dyDescent="0.3">
      <c r="C1362" s="14"/>
    </row>
    <row r="1363" spans="3:3" x14ac:dyDescent="0.3">
      <c r="C1363" s="14"/>
    </row>
    <row r="1364" spans="3:3" x14ac:dyDescent="0.3">
      <c r="C1364" s="14"/>
    </row>
    <row r="1365" spans="3:3" x14ac:dyDescent="0.3">
      <c r="C1365" s="14"/>
    </row>
    <row r="1366" spans="3:3" x14ac:dyDescent="0.3">
      <c r="C1366" s="14"/>
    </row>
    <row r="1367" spans="3:3" x14ac:dyDescent="0.3">
      <c r="C1367" s="14"/>
    </row>
    <row r="1368" spans="3:3" x14ac:dyDescent="0.3">
      <c r="C1368" s="14"/>
    </row>
    <row r="1369" spans="3:3" x14ac:dyDescent="0.3">
      <c r="C1369" s="14"/>
    </row>
    <row r="1370" spans="3:3" x14ac:dyDescent="0.3">
      <c r="C1370" s="14"/>
    </row>
    <row r="1371" spans="3:3" x14ac:dyDescent="0.3">
      <c r="C1371" s="14"/>
    </row>
    <row r="1372" spans="3:3" x14ac:dyDescent="0.3">
      <c r="C1372" s="14"/>
    </row>
    <row r="1373" spans="3:3" x14ac:dyDescent="0.3">
      <c r="C1373" s="14"/>
    </row>
    <row r="1374" spans="3:3" x14ac:dyDescent="0.3">
      <c r="C1374" s="14"/>
    </row>
    <row r="1375" spans="3:3" x14ac:dyDescent="0.3">
      <c r="C1375" s="14"/>
    </row>
    <row r="1376" spans="3:3" x14ac:dyDescent="0.3">
      <c r="C1376" s="14"/>
    </row>
    <row r="1377" spans="3:3" x14ac:dyDescent="0.3">
      <c r="C1377" s="14"/>
    </row>
    <row r="1378" spans="3:3" x14ac:dyDescent="0.3">
      <c r="C1378" s="14"/>
    </row>
    <row r="1379" spans="3:3" x14ac:dyDescent="0.3">
      <c r="C1379" s="14"/>
    </row>
    <row r="1380" spans="3:3" x14ac:dyDescent="0.3">
      <c r="C1380" s="14"/>
    </row>
    <row r="1381" spans="3:3" x14ac:dyDescent="0.3">
      <c r="C1381" s="14"/>
    </row>
    <row r="1382" spans="3:3" x14ac:dyDescent="0.3">
      <c r="C1382" s="14"/>
    </row>
    <row r="1383" spans="3:3" x14ac:dyDescent="0.3">
      <c r="C1383" s="14"/>
    </row>
    <row r="1384" spans="3:3" x14ac:dyDescent="0.3">
      <c r="C1384" s="14"/>
    </row>
    <row r="1385" spans="3:3" x14ac:dyDescent="0.3">
      <c r="C1385" s="14"/>
    </row>
    <row r="1386" spans="3:3" x14ac:dyDescent="0.3">
      <c r="C1386" s="14"/>
    </row>
    <row r="1387" spans="3:3" x14ac:dyDescent="0.3">
      <c r="C1387" s="14"/>
    </row>
    <row r="1388" spans="3:3" x14ac:dyDescent="0.3">
      <c r="C1388" s="14"/>
    </row>
    <row r="1389" spans="3:3" x14ac:dyDescent="0.3">
      <c r="C1389" s="14"/>
    </row>
    <row r="1390" spans="3:3" x14ac:dyDescent="0.3">
      <c r="C1390" s="14"/>
    </row>
    <row r="1391" spans="3:3" x14ac:dyDescent="0.3">
      <c r="C1391" s="14"/>
    </row>
    <row r="1392" spans="3:3" x14ac:dyDescent="0.3">
      <c r="C1392" s="14"/>
    </row>
    <row r="1393" spans="3:3" x14ac:dyDescent="0.3">
      <c r="C1393" s="14"/>
    </row>
    <row r="1394" spans="3:3" x14ac:dyDescent="0.3">
      <c r="C1394" s="14"/>
    </row>
    <row r="1395" spans="3:3" x14ac:dyDescent="0.3">
      <c r="C1395" s="14"/>
    </row>
    <row r="1396" spans="3:3" x14ac:dyDescent="0.3">
      <c r="C1396" s="14"/>
    </row>
    <row r="1397" spans="3:3" x14ac:dyDescent="0.3">
      <c r="C1397" s="14"/>
    </row>
    <row r="1398" spans="3:3" x14ac:dyDescent="0.3">
      <c r="C1398" s="14"/>
    </row>
    <row r="1399" spans="3:3" x14ac:dyDescent="0.3">
      <c r="C1399" s="14"/>
    </row>
    <row r="1400" spans="3:3" x14ac:dyDescent="0.3">
      <c r="C1400" s="14"/>
    </row>
    <row r="1401" spans="3:3" x14ac:dyDescent="0.3">
      <c r="C1401" s="14"/>
    </row>
    <row r="1402" spans="3:3" x14ac:dyDescent="0.3">
      <c r="C1402" s="14"/>
    </row>
    <row r="1403" spans="3:3" x14ac:dyDescent="0.3">
      <c r="C1403" s="14"/>
    </row>
    <row r="1404" spans="3:3" x14ac:dyDescent="0.3">
      <c r="C1404" s="14"/>
    </row>
    <row r="1405" spans="3:3" x14ac:dyDescent="0.3">
      <c r="C1405" s="14"/>
    </row>
    <row r="1406" spans="3:3" x14ac:dyDescent="0.3">
      <c r="C1406" s="14"/>
    </row>
    <row r="1407" spans="3:3" x14ac:dyDescent="0.3">
      <c r="C1407" s="14"/>
    </row>
    <row r="1408" spans="3:3" x14ac:dyDescent="0.3">
      <c r="C1408" s="14"/>
    </row>
    <row r="1409" spans="3:3" x14ac:dyDescent="0.3">
      <c r="C1409" s="14"/>
    </row>
    <row r="1410" spans="3:3" x14ac:dyDescent="0.3">
      <c r="C1410" s="14"/>
    </row>
    <row r="1411" spans="3:3" x14ac:dyDescent="0.3">
      <c r="C1411" s="14"/>
    </row>
    <row r="1412" spans="3:3" x14ac:dyDescent="0.3">
      <c r="C1412" s="14"/>
    </row>
    <row r="1413" spans="3:3" x14ac:dyDescent="0.3">
      <c r="C1413" s="14"/>
    </row>
    <row r="1414" spans="3:3" x14ac:dyDescent="0.3">
      <c r="C1414" s="14"/>
    </row>
    <row r="1415" spans="3:3" x14ac:dyDescent="0.3">
      <c r="C1415" s="14"/>
    </row>
    <row r="1416" spans="3:3" x14ac:dyDescent="0.3">
      <c r="C1416" s="14"/>
    </row>
    <row r="1417" spans="3:3" x14ac:dyDescent="0.3">
      <c r="C1417" s="14"/>
    </row>
    <row r="1418" spans="3:3" x14ac:dyDescent="0.3">
      <c r="C1418" s="14"/>
    </row>
    <row r="1419" spans="3:3" x14ac:dyDescent="0.3">
      <c r="C1419" s="14"/>
    </row>
    <row r="1420" spans="3:3" x14ac:dyDescent="0.3">
      <c r="C1420" s="14"/>
    </row>
    <row r="1421" spans="3:3" x14ac:dyDescent="0.3">
      <c r="C1421" s="14"/>
    </row>
    <row r="1422" spans="3:3" x14ac:dyDescent="0.3">
      <c r="C1422" s="14"/>
    </row>
    <row r="1423" spans="3:3" x14ac:dyDescent="0.3">
      <c r="C1423" s="14"/>
    </row>
    <row r="1424" spans="3:3" x14ac:dyDescent="0.3">
      <c r="C1424" s="14"/>
    </row>
    <row r="1425" spans="3:3" x14ac:dyDescent="0.3">
      <c r="C1425" s="14"/>
    </row>
    <row r="1426" spans="3:3" x14ac:dyDescent="0.3">
      <c r="C1426" s="14"/>
    </row>
    <row r="1427" spans="3:3" x14ac:dyDescent="0.3">
      <c r="C1427" s="14"/>
    </row>
    <row r="1428" spans="3:3" x14ac:dyDescent="0.3">
      <c r="C1428" s="14"/>
    </row>
    <row r="1429" spans="3:3" x14ac:dyDescent="0.3">
      <c r="C1429" s="14"/>
    </row>
    <row r="1430" spans="3:3" x14ac:dyDescent="0.3">
      <c r="C1430" s="14"/>
    </row>
    <row r="1431" spans="3:3" x14ac:dyDescent="0.3">
      <c r="C1431" s="14"/>
    </row>
    <row r="1432" spans="3:3" x14ac:dyDescent="0.3">
      <c r="C1432" s="14"/>
    </row>
    <row r="1433" spans="3:3" x14ac:dyDescent="0.3">
      <c r="C1433" s="14"/>
    </row>
    <row r="1434" spans="3:3" x14ac:dyDescent="0.3">
      <c r="C1434" s="14"/>
    </row>
    <row r="1435" spans="3:3" x14ac:dyDescent="0.3">
      <c r="C1435" s="14"/>
    </row>
    <row r="1436" spans="3:3" x14ac:dyDescent="0.3">
      <c r="C1436" s="14"/>
    </row>
    <row r="1437" spans="3:3" x14ac:dyDescent="0.3">
      <c r="C1437" s="14"/>
    </row>
    <row r="1438" spans="3:3" x14ac:dyDescent="0.3">
      <c r="C1438" s="14"/>
    </row>
    <row r="1439" spans="3:3" x14ac:dyDescent="0.3">
      <c r="C1439" s="14"/>
    </row>
    <row r="1440" spans="3:3" x14ac:dyDescent="0.3">
      <c r="C1440" s="14"/>
    </row>
    <row r="1441" spans="3:3" x14ac:dyDescent="0.3">
      <c r="C1441" s="14"/>
    </row>
    <row r="1442" spans="3:3" x14ac:dyDescent="0.3">
      <c r="C1442" s="14"/>
    </row>
    <row r="1443" spans="3:3" x14ac:dyDescent="0.3">
      <c r="C1443" s="14"/>
    </row>
    <row r="1444" spans="3:3" x14ac:dyDescent="0.3">
      <c r="C1444" s="14"/>
    </row>
    <row r="1445" spans="3:3" x14ac:dyDescent="0.3">
      <c r="C1445" s="14"/>
    </row>
    <row r="1446" spans="3:3" x14ac:dyDescent="0.3">
      <c r="C1446" s="14"/>
    </row>
    <row r="1447" spans="3:3" x14ac:dyDescent="0.3">
      <c r="C1447" s="14"/>
    </row>
    <row r="1448" spans="3:3" x14ac:dyDescent="0.3">
      <c r="C1448" s="14"/>
    </row>
    <row r="1449" spans="3:3" x14ac:dyDescent="0.3">
      <c r="C1449" s="14"/>
    </row>
    <row r="1450" spans="3:3" x14ac:dyDescent="0.3">
      <c r="C1450" s="14"/>
    </row>
    <row r="1451" spans="3:3" x14ac:dyDescent="0.3">
      <c r="C1451" s="14"/>
    </row>
    <row r="1452" spans="3:3" x14ac:dyDescent="0.3">
      <c r="C1452" s="14"/>
    </row>
    <row r="1453" spans="3:3" x14ac:dyDescent="0.3">
      <c r="C1453" s="14"/>
    </row>
    <row r="1454" spans="3:3" x14ac:dyDescent="0.3">
      <c r="C1454" s="14"/>
    </row>
    <row r="1455" spans="3:3" x14ac:dyDescent="0.3">
      <c r="C1455" s="14"/>
    </row>
    <row r="1456" spans="3:3" x14ac:dyDescent="0.3">
      <c r="C1456" s="14"/>
    </row>
    <row r="1457" spans="3:3" x14ac:dyDescent="0.3">
      <c r="C1457" s="14"/>
    </row>
    <row r="1458" spans="3:3" x14ac:dyDescent="0.3">
      <c r="C1458" s="14"/>
    </row>
    <row r="1459" spans="3:3" x14ac:dyDescent="0.3">
      <c r="C1459" s="14"/>
    </row>
    <row r="1460" spans="3:3" x14ac:dyDescent="0.3">
      <c r="C1460" s="14"/>
    </row>
    <row r="1461" spans="3:3" x14ac:dyDescent="0.3">
      <c r="C1461" s="14"/>
    </row>
    <row r="1462" spans="3:3" x14ac:dyDescent="0.3">
      <c r="C1462" s="14"/>
    </row>
    <row r="1463" spans="3:3" x14ac:dyDescent="0.3">
      <c r="C1463" s="14"/>
    </row>
    <row r="1464" spans="3:3" x14ac:dyDescent="0.3">
      <c r="C1464" s="14"/>
    </row>
    <row r="1465" spans="3:3" x14ac:dyDescent="0.3">
      <c r="C1465" s="14"/>
    </row>
    <row r="1466" spans="3:3" x14ac:dyDescent="0.3">
      <c r="C1466" s="14"/>
    </row>
    <row r="1467" spans="3:3" x14ac:dyDescent="0.3">
      <c r="C1467" s="14"/>
    </row>
    <row r="1468" spans="3:3" x14ac:dyDescent="0.3">
      <c r="C1468" s="14"/>
    </row>
    <row r="1469" spans="3:3" x14ac:dyDescent="0.3">
      <c r="C1469" s="14"/>
    </row>
    <row r="1470" spans="3:3" x14ac:dyDescent="0.3">
      <c r="C1470" s="14"/>
    </row>
    <row r="1471" spans="3:3" x14ac:dyDescent="0.3">
      <c r="C1471" s="14"/>
    </row>
    <row r="1472" spans="3:3" x14ac:dyDescent="0.3">
      <c r="C1472" s="14"/>
    </row>
    <row r="1473" spans="3:3" x14ac:dyDescent="0.3">
      <c r="C1473" s="14"/>
    </row>
    <row r="1474" spans="3:3" x14ac:dyDescent="0.3">
      <c r="C1474" s="14"/>
    </row>
    <row r="1475" spans="3:3" x14ac:dyDescent="0.3">
      <c r="C1475" s="14"/>
    </row>
    <row r="1476" spans="3:3" x14ac:dyDescent="0.3">
      <c r="C1476" s="14"/>
    </row>
    <row r="1477" spans="3:3" x14ac:dyDescent="0.3">
      <c r="C1477" s="14"/>
    </row>
    <row r="1478" spans="3:3" x14ac:dyDescent="0.3">
      <c r="C1478" s="14"/>
    </row>
    <row r="1479" spans="3:3" x14ac:dyDescent="0.3">
      <c r="C1479" s="14"/>
    </row>
    <row r="1480" spans="3:3" x14ac:dyDescent="0.3">
      <c r="C1480" s="14"/>
    </row>
    <row r="1481" spans="3:3" x14ac:dyDescent="0.3">
      <c r="C1481" s="14"/>
    </row>
    <row r="1482" spans="3:3" x14ac:dyDescent="0.3">
      <c r="C1482" s="14"/>
    </row>
    <row r="1483" spans="3:3" x14ac:dyDescent="0.3">
      <c r="C1483" s="14"/>
    </row>
    <row r="1484" spans="3:3" x14ac:dyDescent="0.3">
      <c r="C1484" s="14"/>
    </row>
    <row r="1485" spans="3:3" x14ac:dyDescent="0.3">
      <c r="C1485" s="14"/>
    </row>
    <row r="1486" spans="3:3" x14ac:dyDescent="0.3">
      <c r="C1486" s="14"/>
    </row>
    <row r="1487" spans="3:3" x14ac:dyDescent="0.3">
      <c r="C1487" s="14"/>
    </row>
    <row r="1488" spans="3:3" x14ac:dyDescent="0.3">
      <c r="C1488" s="14"/>
    </row>
    <row r="1489" spans="3:3" x14ac:dyDescent="0.3">
      <c r="C1489" s="14"/>
    </row>
    <row r="1490" spans="3:3" x14ac:dyDescent="0.3">
      <c r="C1490" s="14"/>
    </row>
    <row r="1491" spans="3:3" x14ac:dyDescent="0.3">
      <c r="C1491" s="14"/>
    </row>
    <row r="1492" spans="3:3" x14ac:dyDescent="0.3">
      <c r="C1492" s="14"/>
    </row>
    <row r="1493" spans="3:3" x14ac:dyDescent="0.3">
      <c r="C1493" s="14"/>
    </row>
    <row r="1494" spans="3:3" x14ac:dyDescent="0.3">
      <c r="C1494" s="14"/>
    </row>
    <row r="1495" spans="3:3" x14ac:dyDescent="0.3">
      <c r="C1495" s="14"/>
    </row>
    <row r="1496" spans="3:3" x14ac:dyDescent="0.3">
      <c r="C1496" s="14"/>
    </row>
    <row r="1497" spans="3:3" x14ac:dyDescent="0.3">
      <c r="C1497" s="14"/>
    </row>
    <row r="1498" spans="3:3" x14ac:dyDescent="0.3">
      <c r="C1498" s="14"/>
    </row>
    <row r="1499" spans="3:3" x14ac:dyDescent="0.3">
      <c r="C1499" s="14"/>
    </row>
    <row r="1500" spans="3:3" x14ac:dyDescent="0.3">
      <c r="C1500" s="14"/>
    </row>
    <row r="1501" spans="3:3" x14ac:dyDescent="0.3">
      <c r="C1501" s="14"/>
    </row>
    <row r="1502" spans="3:3" x14ac:dyDescent="0.3">
      <c r="C1502" s="14"/>
    </row>
    <row r="1503" spans="3:3" x14ac:dyDescent="0.3">
      <c r="C1503" s="14"/>
    </row>
    <row r="1504" spans="3:3" x14ac:dyDescent="0.3">
      <c r="C1504" s="14"/>
    </row>
    <row r="1505" spans="3:3" x14ac:dyDescent="0.3">
      <c r="C1505" s="14"/>
    </row>
    <row r="1506" spans="3:3" x14ac:dyDescent="0.3">
      <c r="C1506" s="14"/>
    </row>
    <row r="1507" spans="3:3" x14ac:dyDescent="0.3">
      <c r="C1507" s="14"/>
    </row>
    <row r="1508" spans="3:3" x14ac:dyDescent="0.3">
      <c r="C1508" s="14"/>
    </row>
    <row r="1509" spans="3:3" x14ac:dyDescent="0.3">
      <c r="C1509" s="14"/>
    </row>
    <row r="1510" spans="3:3" x14ac:dyDescent="0.3">
      <c r="C1510" s="14"/>
    </row>
    <row r="1511" spans="3:3" x14ac:dyDescent="0.3">
      <c r="C1511" s="14"/>
    </row>
    <row r="1512" spans="3:3" x14ac:dyDescent="0.3">
      <c r="C1512" s="14"/>
    </row>
    <row r="1513" spans="3:3" x14ac:dyDescent="0.3">
      <c r="C1513" s="14"/>
    </row>
    <row r="1514" spans="3:3" x14ac:dyDescent="0.3">
      <c r="C1514" s="14"/>
    </row>
    <row r="1515" spans="3:3" x14ac:dyDescent="0.3">
      <c r="C1515" s="14"/>
    </row>
    <row r="1516" spans="3:3" x14ac:dyDescent="0.3">
      <c r="C1516" s="14"/>
    </row>
    <row r="1517" spans="3:3" x14ac:dyDescent="0.3">
      <c r="C1517" s="14"/>
    </row>
    <row r="1518" spans="3:3" x14ac:dyDescent="0.3">
      <c r="C1518" s="14"/>
    </row>
    <row r="1519" spans="3:3" x14ac:dyDescent="0.3">
      <c r="C1519" s="14"/>
    </row>
    <row r="1520" spans="3:3" x14ac:dyDescent="0.3">
      <c r="C1520" s="14"/>
    </row>
    <row r="1521" spans="3:3" x14ac:dyDescent="0.3">
      <c r="C1521" s="14"/>
    </row>
    <row r="1522" spans="3:3" x14ac:dyDescent="0.3">
      <c r="C1522" s="14"/>
    </row>
    <row r="1523" spans="3:3" x14ac:dyDescent="0.3">
      <c r="C1523" s="14"/>
    </row>
    <row r="1524" spans="3:3" x14ac:dyDescent="0.3">
      <c r="C1524" s="14"/>
    </row>
    <row r="1525" spans="3:3" x14ac:dyDescent="0.3">
      <c r="C1525" s="14"/>
    </row>
    <row r="1526" spans="3:3" x14ac:dyDescent="0.3">
      <c r="C1526" s="14"/>
    </row>
    <row r="1527" spans="3:3" x14ac:dyDescent="0.3">
      <c r="C1527" s="14"/>
    </row>
    <row r="1528" spans="3:3" x14ac:dyDescent="0.3">
      <c r="C1528" s="14"/>
    </row>
    <row r="1529" spans="3:3" x14ac:dyDescent="0.3">
      <c r="C1529" s="14"/>
    </row>
    <row r="1530" spans="3:3" x14ac:dyDescent="0.3">
      <c r="C1530" s="14"/>
    </row>
    <row r="1531" spans="3:3" x14ac:dyDescent="0.3">
      <c r="C1531" s="14"/>
    </row>
    <row r="1532" spans="3:3" x14ac:dyDescent="0.3">
      <c r="C1532" s="14"/>
    </row>
    <row r="1533" spans="3:3" x14ac:dyDescent="0.3">
      <c r="C1533" s="14"/>
    </row>
    <row r="1534" spans="3:3" x14ac:dyDescent="0.3">
      <c r="C1534" s="14"/>
    </row>
    <row r="1535" spans="3:3" x14ac:dyDescent="0.3">
      <c r="C1535" s="14"/>
    </row>
    <row r="1536" spans="3:3" x14ac:dyDescent="0.3">
      <c r="C1536" s="14"/>
    </row>
    <row r="1537" spans="3:3" x14ac:dyDescent="0.3">
      <c r="C1537" s="14"/>
    </row>
    <row r="1538" spans="3:3" x14ac:dyDescent="0.3">
      <c r="C1538" s="14"/>
    </row>
    <row r="1539" spans="3:3" x14ac:dyDescent="0.3">
      <c r="C1539" s="14"/>
    </row>
    <row r="1540" spans="3:3" x14ac:dyDescent="0.3">
      <c r="C1540" s="14"/>
    </row>
    <row r="1541" spans="3:3" x14ac:dyDescent="0.3">
      <c r="C1541" s="14"/>
    </row>
    <row r="1542" spans="3:3" x14ac:dyDescent="0.3">
      <c r="C1542" s="14"/>
    </row>
    <row r="1543" spans="3:3" x14ac:dyDescent="0.3">
      <c r="C1543" s="14"/>
    </row>
    <row r="1544" spans="3:3" x14ac:dyDescent="0.3">
      <c r="C1544" s="14"/>
    </row>
    <row r="1545" spans="3:3" x14ac:dyDescent="0.3">
      <c r="C1545" s="14"/>
    </row>
    <row r="1546" spans="3:3" x14ac:dyDescent="0.3">
      <c r="C1546" s="14"/>
    </row>
    <row r="1547" spans="3:3" x14ac:dyDescent="0.3">
      <c r="C1547" s="14"/>
    </row>
    <row r="1548" spans="3:3" x14ac:dyDescent="0.3">
      <c r="C1548" s="14"/>
    </row>
    <row r="1549" spans="3:3" x14ac:dyDescent="0.3">
      <c r="C1549" s="14"/>
    </row>
    <row r="1550" spans="3:3" x14ac:dyDescent="0.3">
      <c r="C1550" s="14"/>
    </row>
    <row r="1551" spans="3:3" x14ac:dyDescent="0.3">
      <c r="C1551" s="14"/>
    </row>
    <row r="1552" spans="3:3" x14ac:dyDescent="0.3">
      <c r="C1552" s="14"/>
    </row>
    <row r="1553" spans="3:3" x14ac:dyDescent="0.3">
      <c r="C1553" s="14"/>
    </row>
    <row r="1554" spans="3:3" x14ac:dyDescent="0.3">
      <c r="C1554" s="14"/>
    </row>
    <row r="1555" spans="3:3" x14ac:dyDescent="0.3">
      <c r="C1555" s="14"/>
    </row>
    <row r="1556" spans="3:3" x14ac:dyDescent="0.3">
      <c r="C1556" s="14"/>
    </row>
    <row r="1557" spans="3:3" x14ac:dyDescent="0.3">
      <c r="C1557" s="14"/>
    </row>
    <row r="1558" spans="3:3" x14ac:dyDescent="0.3">
      <c r="C1558" s="14"/>
    </row>
    <row r="1559" spans="3:3" x14ac:dyDescent="0.3">
      <c r="C1559" s="14"/>
    </row>
    <row r="1560" spans="3:3" x14ac:dyDescent="0.3">
      <c r="C1560" s="14"/>
    </row>
    <row r="1561" spans="3:3" x14ac:dyDescent="0.3">
      <c r="C1561" s="14"/>
    </row>
    <row r="1562" spans="3:3" x14ac:dyDescent="0.3">
      <c r="C1562" s="14"/>
    </row>
    <row r="1563" spans="3:3" x14ac:dyDescent="0.3">
      <c r="C1563" s="14"/>
    </row>
    <row r="1564" spans="3:3" x14ac:dyDescent="0.3">
      <c r="C1564" s="14"/>
    </row>
    <row r="1565" spans="3:3" x14ac:dyDescent="0.3">
      <c r="C1565" s="14"/>
    </row>
    <row r="1566" spans="3:3" x14ac:dyDescent="0.3">
      <c r="C1566" s="14"/>
    </row>
    <row r="1567" spans="3:3" x14ac:dyDescent="0.3">
      <c r="C1567" s="14"/>
    </row>
    <row r="1568" spans="3:3" x14ac:dyDescent="0.3">
      <c r="C1568" s="14"/>
    </row>
    <row r="1569" spans="3:3" x14ac:dyDescent="0.3">
      <c r="C1569" s="14"/>
    </row>
    <row r="1570" spans="3:3" x14ac:dyDescent="0.3">
      <c r="C1570" s="14"/>
    </row>
    <row r="1571" spans="3:3" x14ac:dyDescent="0.3">
      <c r="C1571" s="14"/>
    </row>
    <row r="1572" spans="3:3" x14ac:dyDescent="0.3">
      <c r="C1572" s="14"/>
    </row>
    <row r="1573" spans="3:3" x14ac:dyDescent="0.3">
      <c r="C1573" s="14"/>
    </row>
    <row r="1574" spans="3:3" x14ac:dyDescent="0.3">
      <c r="C1574" s="14"/>
    </row>
    <row r="1575" spans="3:3" x14ac:dyDescent="0.3">
      <c r="C1575" s="14"/>
    </row>
    <row r="1576" spans="3:3" x14ac:dyDescent="0.3">
      <c r="C1576" s="14"/>
    </row>
    <row r="1577" spans="3:3" x14ac:dyDescent="0.3">
      <c r="C1577" s="14"/>
    </row>
    <row r="1578" spans="3:3" x14ac:dyDescent="0.3">
      <c r="C1578" s="14"/>
    </row>
    <row r="1579" spans="3:3" x14ac:dyDescent="0.3">
      <c r="C1579" s="14"/>
    </row>
    <row r="1580" spans="3:3" x14ac:dyDescent="0.3">
      <c r="C1580" s="14"/>
    </row>
    <row r="1581" spans="3:3" x14ac:dyDescent="0.3">
      <c r="C1581" s="14"/>
    </row>
    <row r="1582" spans="3:3" x14ac:dyDescent="0.3">
      <c r="C1582" s="14"/>
    </row>
    <row r="1583" spans="3:3" x14ac:dyDescent="0.3">
      <c r="C1583" s="14"/>
    </row>
    <row r="1584" spans="3:3" x14ac:dyDescent="0.3">
      <c r="C1584" s="14"/>
    </row>
    <row r="1585" spans="3:3" x14ac:dyDescent="0.3">
      <c r="C1585" s="14"/>
    </row>
    <row r="1586" spans="3:3" x14ac:dyDescent="0.3">
      <c r="C1586" s="14"/>
    </row>
    <row r="1587" spans="3:3" x14ac:dyDescent="0.3">
      <c r="C1587" s="14"/>
    </row>
    <row r="1588" spans="3:3" x14ac:dyDescent="0.3">
      <c r="C1588" s="14"/>
    </row>
    <row r="1589" spans="3:3" x14ac:dyDescent="0.3">
      <c r="C1589" s="14"/>
    </row>
    <row r="1590" spans="3:3" x14ac:dyDescent="0.3">
      <c r="C1590" s="14"/>
    </row>
    <row r="1591" spans="3:3" x14ac:dyDescent="0.3">
      <c r="C1591" s="14"/>
    </row>
    <row r="1592" spans="3:3" x14ac:dyDescent="0.3">
      <c r="C1592" s="14"/>
    </row>
    <row r="1593" spans="3:3" x14ac:dyDescent="0.3">
      <c r="C1593" s="14"/>
    </row>
    <row r="1594" spans="3:3" x14ac:dyDescent="0.3">
      <c r="C1594" s="14"/>
    </row>
    <row r="1595" spans="3:3" x14ac:dyDescent="0.3">
      <c r="C1595" s="14"/>
    </row>
    <row r="1596" spans="3:3" x14ac:dyDescent="0.3">
      <c r="C1596" s="14"/>
    </row>
    <row r="1597" spans="3:3" x14ac:dyDescent="0.3">
      <c r="C1597" s="14"/>
    </row>
    <row r="1598" spans="3:3" x14ac:dyDescent="0.3">
      <c r="C1598" s="14"/>
    </row>
    <row r="1599" spans="3:3" x14ac:dyDescent="0.3">
      <c r="C1599" s="14"/>
    </row>
    <row r="1600" spans="3:3" x14ac:dyDescent="0.3">
      <c r="C1600" s="14"/>
    </row>
    <row r="1601" spans="3:3" x14ac:dyDescent="0.3">
      <c r="C1601" s="14"/>
    </row>
    <row r="1602" spans="3:3" x14ac:dyDescent="0.3">
      <c r="C1602" s="14"/>
    </row>
    <row r="1603" spans="3:3" x14ac:dyDescent="0.3">
      <c r="C1603" s="14"/>
    </row>
    <row r="1604" spans="3:3" x14ac:dyDescent="0.3">
      <c r="C1604" s="14"/>
    </row>
    <row r="1605" spans="3:3" x14ac:dyDescent="0.3">
      <c r="C1605" s="14"/>
    </row>
    <row r="1606" spans="3:3" x14ac:dyDescent="0.3">
      <c r="C1606" s="14"/>
    </row>
    <row r="1607" spans="3:3" x14ac:dyDescent="0.3">
      <c r="C1607" s="14"/>
    </row>
    <row r="1608" spans="3:3" x14ac:dyDescent="0.3">
      <c r="C1608" s="14"/>
    </row>
    <row r="1609" spans="3:3" x14ac:dyDescent="0.3">
      <c r="C1609" s="14"/>
    </row>
    <row r="1610" spans="3:3" x14ac:dyDescent="0.3">
      <c r="C1610" s="14"/>
    </row>
    <row r="1611" spans="3:3" x14ac:dyDescent="0.3">
      <c r="C1611" s="14"/>
    </row>
    <row r="1612" spans="3:3" x14ac:dyDescent="0.3">
      <c r="C1612" s="14"/>
    </row>
    <row r="1613" spans="3:3" x14ac:dyDescent="0.3">
      <c r="C1613" s="14"/>
    </row>
    <row r="1614" spans="3:3" x14ac:dyDescent="0.3">
      <c r="C1614" s="14"/>
    </row>
    <row r="1615" spans="3:3" x14ac:dyDescent="0.3">
      <c r="C1615" s="14"/>
    </row>
    <row r="1616" spans="3:3" x14ac:dyDescent="0.3">
      <c r="C1616" s="14"/>
    </row>
    <row r="1617" spans="3:3" x14ac:dyDescent="0.3">
      <c r="C1617" s="14"/>
    </row>
    <row r="1618" spans="3:3" x14ac:dyDescent="0.3">
      <c r="C1618" s="14"/>
    </row>
    <row r="1619" spans="3:3" x14ac:dyDescent="0.3">
      <c r="C1619" s="14"/>
    </row>
    <row r="1620" spans="3:3" x14ac:dyDescent="0.3">
      <c r="C1620" s="14"/>
    </row>
    <row r="1621" spans="3:3" x14ac:dyDescent="0.3">
      <c r="C1621" s="14"/>
    </row>
    <row r="1622" spans="3:3" x14ac:dyDescent="0.3">
      <c r="C1622" s="14"/>
    </row>
    <row r="1623" spans="3:3" x14ac:dyDescent="0.3">
      <c r="C1623" s="14"/>
    </row>
    <row r="1624" spans="3:3" x14ac:dyDescent="0.3">
      <c r="C1624" s="14"/>
    </row>
    <row r="1625" spans="3:3" x14ac:dyDescent="0.3">
      <c r="C1625" s="14"/>
    </row>
    <row r="1626" spans="3:3" x14ac:dyDescent="0.3">
      <c r="C1626" s="14"/>
    </row>
    <row r="1627" spans="3:3" x14ac:dyDescent="0.3">
      <c r="C1627" s="14"/>
    </row>
    <row r="1628" spans="3:3" x14ac:dyDescent="0.3">
      <c r="C1628" s="14"/>
    </row>
    <row r="1629" spans="3:3" x14ac:dyDescent="0.3">
      <c r="C1629" s="14"/>
    </row>
    <row r="1630" spans="3:3" x14ac:dyDescent="0.3">
      <c r="C1630" s="14"/>
    </row>
    <row r="1631" spans="3:3" x14ac:dyDescent="0.3">
      <c r="C1631" s="14"/>
    </row>
    <row r="1632" spans="3:3" x14ac:dyDescent="0.3">
      <c r="C1632" s="14"/>
    </row>
    <row r="1633" spans="3:3" x14ac:dyDescent="0.3">
      <c r="C1633" s="14"/>
    </row>
    <row r="1634" spans="3:3" x14ac:dyDescent="0.3">
      <c r="C1634" s="14"/>
    </row>
    <row r="1635" spans="3:3" x14ac:dyDescent="0.3">
      <c r="C1635" s="14"/>
    </row>
    <row r="1636" spans="3:3" x14ac:dyDescent="0.3">
      <c r="C1636" s="14"/>
    </row>
    <row r="1637" spans="3:3" x14ac:dyDescent="0.3">
      <c r="C1637" s="14"/>
    </row>
    <row r="1638" spans="3:3" x14ac:dyDescent="0.3">
      <c r="C1638" s="14"/>
    </row>
    <row r="1639" spans="3:3" x14ac:dyDescent="0.3">
      <c r="C1639" s="14"/>
    </row>
    <row r="1640" spans="3:3" x14ac:dyDescent="0.3">
      <c r="C1640" s="14"/>
    </row>
    <row r="1641" spans="3:3" x14ac:dyDescent="0.3">
      <c r="C1641" s="14"/>
    </row>
    <row r="1642" spans="3:3" x14ac:dyDescent="0.3">
      <c r="C1642" s="14"/>
    </row>
    <row r="1643" spans="3:3" x14ac:dyDescent="0.3">
      <c r="C1643" s="14"/>
    </row>
    <row r="1644" spans="3:3" x14ac:dyDescent="0.3">
      <c r="C1644" s="14"/>
    </row>
    <row r="1645" spans="3:3" x14ac:dyDescent="0.3">
      <c r="C1645" s="14"/>
    </row>
    <row r="1646" spans="3:3" x14ac:dyDescent="0.3">
      <c r="C1646" s="14"/>
    </row>
    <row r="1647" spans="3:3" x14ac:dyDescent="0.3">
      <c r="C1647" s="14"/>
    </row>
    <row r="1648" spans="3:3" x14ac:dyDescent="0.3">
      <c r="C1648" s="14"/>
    </row>
    <row r="1649" spans="3:3" x14ac:dyDescent="0.3">
      <c r="C1649" s="14"/>
    </row>
    <row r="1650" spans="3:3" x14ac:dyDescent="0.3">
      <c r="C1650" s="14"/>
    </row>
    <row r="1651" spans="3:3" x14ac:dyDescent="0.3">
      <c r="C1651" s="14"/>
    </row>
    <row r="1652" spans="3:3" x14ac:dyDescent="0.3">
      <c r="C1652" s="14"/>
    </row>
    <row r="1653" spans="3:3" x14ac:dyDescent="0.3">
      <c r="C1653" s="14"/>
    </row>
    <row r="1654" spans="3:3" x14ac:dyDescent="0.3">
      <c r="C1654" s="14"/>
    </row>
    <row r="1655" spans="3:3" x14ac:dyDescent="0.3">
      <c r="C1655" s="14"/>
    </row>
    <row r="1656" spans="3:3" x14ac:dyDescent="0.3">
      <c r="C1656" s="14"/>
    </row>
    <row r="1657" spans="3:3" x14ac:dyDescent="0.3">
      <c r="C1657" s="14"/>
    </row>
    <row r="1658" spans="3:3" x14ac:dyDescent="0.3">
      <c r="C1658" s="14"/>
    </row>
    <row r="1659" spans="3:3" x14ac:dyDescent="0.3">
      <c r="C1659" s="14"/>
    </row>
    <row r="1660" spans="3:3" x14ac:dyDescent="0.3">
      <c r="C1660" s="14"/>
    </row>
    <row r="1661" spans="3:3" x14ac:dyDescent="0.3">
      <c r="C1661" s="14"/>
    </row>
    <row r="1662" spans="3:3" x14ac:dyDescent="0.3">
      <c r="C1662" s="14"/>
    </row>
    <row r="1663" spans="3:3" x14ac:dyDescent="0.3">
      <c r="C1663" s="14"/>
    </row>
    <row r="1664" spans="3:3" x14ac:dyDescent="0.3">
      <c r="C1664" s="14"/>
    </row>
    <row r="1665" spans="3:3" x14ac:dyDescent="0.3">
      <c r="C1665" s="14"/>
    </row>
    <row r="1666" spans="3:3" x14ac:dyDescent="0.3">
      <c r="C1666" s="14"/>
    </row>
    <row r="1667" spans="3:3" x14ac:dyDescent="0.3">
      <c r="C1667" s="14"/>
    </row>
    <row r="1668" spans="3:3" x14ac:dyDescent="0.3">
      <c r="C1668" s="14"/>
    </row>
    <row r="1669" spans="3:3" x14ac:dyDescent="0.3">
      <c r="C1669" s="14"/>
    </row>
    <row r="1670" spans="3:3" x14ac:dyDescent="0.3">
      <c r="C1670" s="14"/>
    </row>
    <row r="1671" spans="3:3" x14ac:dyDescent="0.3">
      <c r="C1671" s="14"/>
    </row>
    <row r="1672" spans="3:3" x14ac:dyDescent="0.3">
      <c r="C1672" s="14"/>
    </row>
    <row r="1673" spans="3:3" x14ac:dyDescent="0.3">
      <c r="C1673" s="14"/>
    </row>
    <row r="1674" spans="3:3" x14ac:dyDescent="0.3">
      <c r="C1674" s="14"/>
    </row>
    <row r="1675" spans="3:3" x14ac:dyDescent="0.3">
      <c r="C1675" s="14"/>
    </row>
    <row r="1676" spans="3:3" x14ac:dyDescent="0.3">
      <c r="C1676" s="14"/>
    </row>
    <row r="1677" spans="3:3" x14ac:dyDescent="0.3">
      <c r="C1677" s="14"/>
    </row>
    <row r="1678" spans="3:3" x14ac:dyDescent="0.3">
      <c r="C1678" s="14"/>
    </row>
    <row r="1679" spans="3:3" x14ac:dyDescent="0.3">
      <c r="C1679" s="14"/>
    </row>
    <row r="1680" spans="3:3" x14ac:dyDescent="0.3">
      <c r="C1680" s="14"/>
    </row>
    <row r="1681" spans="3:3" x14ac:dyDescent="0.3">
      <c r="C1681" s="14"/>
    </row>
    <row r="1682" spans="3:3" x14ac:dyDescent="0.3">
      <c r="C1682" s="14"/>
    </row>
    <row r="1683" spans="3:3" x14ac:dyDescent="0.3">
      <c r="C1683" s="14"/>
    </row>
    <row r="1684" spans="3:3" x14ac:dyDescent="0.3">
      <c r="C1684" s="14"/>
    </row>
    <row r="1685" spans="3:3" x14ac:dyDescent="0.3">
      <c r="C1685" s="14"/>
    </row>
    <row r="1686" spans="3:3" x14ac:dyDescent="0.3">
      <c r="C1686" s="14"/>
    </row>
    <row r="1687" spans="3:3" x14ac:dyDescent="0.3">
      <c r="C1687" s="14"/>
    </row>
    <row r="1688" spans="3:3" x14ac:dyDescent="0.3">
      <c r="C1688" s="14"/>
    </row>
    <row r="1689" spans="3:3" x14ac:dyDescent="0.3">
      <c r="C1689" s="14"/>
    </row>
    <row r="1690" spans="3:3" x14ac:dyDescent="0.3">
      <c r="C1690" s="14"/>
    </row>
    <row r="1691" spans="3:3" x14ac:dyDescent="0.3">
      <c r="C1691" s="14"/>
    </row>
    <row r="1692" spans="3:3" x14ac:dyDescent="0.3">
      <c r="C1692" s="14"/>
    </row>
    <row r="1693" spans="3:3" x14ac:dyDescent="0.3">
      <c r="C1693" s="14"/>
    </row>
    <row r="1694" spans="3:3" x14ac:dyDescent="0.3">
      <c r="C1694" s="14"/>
    </row>
    <row r="1695" spans="3:3" x14ac:dyDescent="0.3">
      <c r="C1695" s="14"/>
    </row>
    <row r="1696" spans="3:3" x14ac:dyDescent="0.3">
      <c r="C1696" s="14"/>
    </row>
    <row r="1697" spans="3:3" x14ac:dyDescent="0.3">
      <c r="C1697" s="14"/>
    </row>
    <row r="1698" spans="3:3" x14ac:dyDescent="0.3">
      <c r="C1698" s="14"/>
    </row>
    <row r="1699" spans="3:3" x14ac:dyDescent="0.3">
      <c r="C1699" s="14"/>
    </row>
    <row r="1700" spans="3:3" x14ac:dyDescent="0.3">
      <c r="C1700" s="14"/>
    </row>
    <row r="1701" spans="3:3" x14ac:dyDescent="0.3">
      <c r="C1701" s="14"/>
    </row>
    <row r="1702" spans="3:3" x14ac:dyDescent="0.3">
      <c r="C1702" s="14"/>
    </row>
    <row r="1703" spans="3:3" x14ac:dyDescent="0.3">
      <c r="C1703" s="14"/>
    </row>
    <row r="1704" spans="3:3" x14ac:dyDescent="0.3">
      <c r="C1704" s="14"/>
    </row>
    <row r="1705" spans="3:3" x14ac:dyDescent="0.3">
      <c r="C1705" s="14"/>
    </row>
    <row r="1706" spans="3:3" x14ac:dyDescent="0.3">
      <c r="C1706" s="14"/>
    </row>
    <row r="1707" spans="3:3" x14ac:dyDescent="0.3">
      <c r="C1707" s="14"/>
    </row>
    <row r="1708" spans="3:3" x14ac:dyDescent="0.3">
      <c r="C1708" s="14"/>
    </row>
    <row r="1709" spans="3:3" x14ac:dyDescent="0.3">
      <c r="C1709" s="14"/>
    </row>
    <row r="1710" spans="3:3" x14ac:dyDescent="0.3">
      <c r="C1710" s="14"/>
    </row>
    <row r="1711" spans="3:3" x14ac:dyDescent="0.3">
      <c r="C1711" s="14"/>
    </row>
    <row r="1712" spans="3:3" x14ac:dyDescent="0.3">
      <c r="C1712" s="14"/>
    </row>
    <row r="1713" spans="3:3" x14ac:dyDescent="0.3">
      <c r="C1713" s="14"/>
    </row>
    <row r="1714" spans="3:3" x14ac:dyDescent="0.3">
      <c r="C1714" s="14"/>
    </row>
    <row r="1715" spans="3:3" x14ac:dyDescent="0.3">
      <c r="C1715" s="14"/>
    </row>
    <row r="1716" spans="3:3" x14ac:dyDescent="0.3">
      <c r="C1716" s="14"/>
    </row>
    <row r="1717" spans="3:3" x14ac:dyDescent="0.3">
      <c r="C1717" s="14"/>
    </row>
    <row r="1718" spans="3:3" x14ac:dyDescent="0.3">
      <c r="C1718" s="14"/>
    </row>
    <row r="1719" spans="3:3" x14ac:dyDescent="0.3">
      <c r="C1719" s="14"/>
    </row>
    <row r="1720" spans="3:3" x14ac:dyDescent="0.3">
      <c r="C1720" s="14"/>
    </row>
    <row r="1721" spans="3:3" x14ac:dyDescent="0.3">
      <c r="C1721" s="14"/>
    </row>
    <row r="1722" spans="3:3" x14ac:dyDescent="0.3">
      <c r="C1722" s="14"/>
    </row>
    <row r="1723" spans="3:3" x14ac:dyDescent="0.3">
      <c r="C1723" s="14"/>
    </row>
    <row r="1724" spans="3:3" x14ac:dyDescent="0.3">
      <c r="C1724" s="14"/>
    </row>
    <row r="1725" spans="3:3" x14ac:dyDescent="0.3">
      <c r="C1725" s="14"/>
    </row>
    <row r="1726" spans="3:3" x14ac:dyDescent="0.3">
      <c r="C1726" s="14"/>
    </row>
    <row r="1727" spans="3:3" x14ac:dyDescent="0.3">
      <c r="C1727" s="14"/>
    </row>
    <row r="1728" spans="3:3" x14ac:dyDescent="0.3">
      <c r="C1728" s="14"/>
    </row>
    <row r="1729" spans="3:3" x14ac:dyDescent="0.3">
      <c r="C1729" s="14"/>
    </row>
    <row r="1730" spans="3:3" x14ac:dyDescent="0.3">
      <c r="C1730" s="14"/>
    </row>
    <row r="1731" spans="3:3" x14ac:dyDescent="0.3">
      <c r="C1731" s="14"/>
    </row>
    <row r="1732" spans="3:3" x14ac:dyDescent="0.3">
      <c r="C1732" s="14"/>
    </row>
    <row r="1733" spans="3:3" x14ac:dyDescent="0.3">
      <c r="C1733" s="14"/>
    </row>
    <row r="1734" spans="3:3" x14ac:dyDescent="0.3">
      <c r="C1734" s="14"/>
    </row>
    <row r="1735" spans="3:3" x14ac:dyDescent="0.3">
      <c r="C1735" s="14"/>
    </row>
    <row r="1736" spans="3:3" x14ac:dyDescent="0.3">
      <c r="C1736" s="14"/>
    </row>
    <row r="1737" spans="3:3" x14ac:dyDescent="0.3">
      <c r="C1737" s="14"/>
    </row>
    <row r="1738" spans="3:3" x14ac:dyDescent="0.3">
      <c r="C1738" s="14"/>
    </row>
    <row r="1739" spans="3:3" x14ac:dyDescent="0.3">
      <c r="C1739" s="14"/>
    </row>
    <row r="1740" spans="3:3" x14ac:dyDescent="0.3">
      <c r="C1740" s="14"/>
    </row>
    <row r="1741" spans="3:3" x14ac:dyDescent="0.3">
      <c r="C1741" s="14"/>
    </row>
    <row r="1742" spans="3:3" x14ac:dyDescent="0.3">
      <c r="C1742" s="14"/>
    </row>
    <row r="1743" spans="3:3" x14ac:dyDescent="0.3">
      <c r="C1743" s="14"/>
    </row>
    <row r="1744" spans="3:3" x14ac:dyDescent="0.3">
      <c r="C1744" s="14"/>
    </row>
    <row r="1745" spans="3:3" x14ac:dyDescent="0.3">
      <c r="C1745" s="14"/>
    </row>
    <row r="1746" spans="3:3" x14ac:dyDescent="0.3">
      <c r="C1746" s="14"/>
    </row>
    <row r="1747" spans="3:3" x14ac:dyDescent="0.3">
      <c r="C1747" s="14"/>
    </row>
    <row r="1748" spans="3:3" x14ac:dyDescent="0.3">
      <c r="C1748" s="14"/>
    </row>
    <row r="1749" spans="3:3" x14ac:dyDescent="0.3">
      <c r="C1749" s="14"/>
    </row>
    <row r="1750" spans="3:3" x14ac:dyDescent="0.3">
      <c r="C1750" s="14"/>
    </row>
    <row r="1751" spans="3:3" x14ac:dyDescent="0.3">
      <c r="C1751" s="14"/>
    </row>
    <row r="1752" spans="3:3" x14ac:dyDescent="0.3">
      <c r="C1752" s="14"/>
    </row>
    <row r="1753" spans="3:3" x14ac:dyDescent="0.3">
      <c r="C1753" s="14"/>
    </row>
    <row r="1754" spans="3:3" x14ac:dyDescent="0.3">
      <c r="C1754" s="14"/>
    </row>
    <row r="1755" spans="3:3" x14ac:dyDescent="0.3">
      <c r="C1755" s="14"/>
    </row>
    <row r="1756" spans="3:3" x14ac:dyDescent="0.3">
      <c r="C1756" s="14"/>
    </row>
    <row r="1757" spans="3:3" x14ac:dyDescent="0.3">
      <c r="C1757" s="14"/>
    </row>
    <row r="1758" spans="3:3" x14ac:dyDescent="0.3">
      <c r="C1758" s="14"/>
    </row>
    <row r="1759" spans="3:3" x14ac:dyDescent="0.3">
      <c r="C1759" s="14"/>
    </row>
    <row r="1760" spans="3:3" x14ac:dyDescent="0.3">
      <c r="C1760" s="14"/>
    </row>
    <row r="1761" spans="3:3" x14ac:dyDescent="0.3">
      <c r="C1761" s="14"/>
    </row>
    <row r="1762" spans="3:3" x14ac:dyDescent="0.3">
      <c r="C1762" s="14"/>
    </row>
    <row r="1763" spans="3:3" x14ac:dyDescent="0.3">
      <c r="C1763" s="14"/>
    </row>
    <row r="1764" spans="3:3" x14ac:dyDescent="0.3">
      <c r="C1764" s="14"/>
    </row>
    <row r="1765" spans="3:3" x14ac:dyDescent="0.3">
      <c r="C1765" s="14"/>
    </row>
    <row r="1766" spans="3:3" x14ac:dyDescent="0.3">
      <c r="C1766" s="14"/>
    </row>
    <row r="1767" spans="3:3" x14ac:dyDescent="0.3">
      <c r="C1767" s="14"/>
    </row>
    <row r="1768" spans="3:3" x14ac:dyDescent="0.3">
      <c r="C1768" s="14"/>
    </row>
    <row r="1769" spans="3:3" x14ac:dyDescent="0.3">
      <c r="C1769" s="14"/>
    </row>
    <row r="1770" spans="3:3" x14ac:dyDescent="0.3">
      <c r="C1770" s="14"/>
    </row>
    <row r="1771" spans="3:3" x14ac:dyDescent="0.3">
      <c r="C1771" s="14"/>
    </row>
    <row r="1772" spans="3:3" x14ac:dyDescent="0.3">
      <c r="C1772" s="14"/>
    </row>
    <row r="1773" spans="3:3" x14ac:dyDescent="0.3">
      <c r="C1773" s="14"/>
    </row>
    <row r="1774" spans="3:3" x14ac:dyDescent="0.3">
      <c r="C1774" s="14"/>
    </row>
    <row r="1775" spans="3:3" x14ac:dyDescent="0.3">
      <c r="C1775" s="14"/>
    </row>
    <row r="1776" spans="3:3" x14ac:dyDescent="0.3">
      <c r="C1776" s="14"/>
    </row>
    <row r="1777" spans="3:3" x14ac:dyDescent="0.3">
      <c r="C1777" s="14"/>
    </row>
    <row r="1778" spans="3:3" x14ac:dyDescent="0.3">
      <c r="C1778" s="14"/>
    </row>
    <row r="1779" spans="3:3" x14ac:dyDescent="0.3">
      <c r="C1779" s="14"/>
    </row>
    <row r="1780" spans="3:3" x14ac:dyDescent="0.3">
      <c r="C1780" s="14"/>
    </row>
    <row r="1781" spans="3:3" x14ac:dyDescent="0.3">
      <c r="C1781" s="14"/>
    </row>
    <row r="1782" spans="3:3" x14ac:dyDescent="0.3">
      <c r="C1782" s="14"/>
    </row>
    <row r="1783" spans="3:3" x14ac:dyDescent="0.3">
      <c r="C1783" s="14"/>
    </row>
    <row r="1784" spans="3:3" x14ac:dyDescent="0.3">
      <c r="C1784" s="14"/>
    </row>
    <row r="1785" spans="3:3" x14ac:dyDescent="0.3">
      <c r="C1785" s="14"/>
    </row>
    <row r="1786" spans="3:3" x14ac:dyDescent="0.3">
      <c r="C1786" s="14"/>
    </row>
    <row r="1787" spans="3:3" x14ac:dyDescent="0.3">
      <c r="C1787" s="14"/>
    </row>
    <row r="1788" spans="3:3" x14ac:dyDescent="0.3">
      <c r="C1788" s="14"/>
    </row>
    <row r="1789" spans="3:3" x14ac:dyDescent="0.3">
      <c r="C1789" s="14"/>
    </row>
    <row r="1790" spans="3:3" x14ac:dyDescent="0.3">
      <c r="C1790" s="14"/>
    </row>
    <row r="1791" spans="3:3" x14ac:dyDescent="0.3">
      <c r="C1791" s="14"/>
    </row>
    <row r="1792" spans="3:3" x14ac:dyDescent="0.3">
      <c r="C1792" s="14"/>
    </row>
    <row r="1793" spans="3:3" x14ac:dyDescent="0.3">
      <c r="C1793" s="14"/>
    </row>
    <row r="1794" spans="3:3" x14ac:dyDescent="0.3">
      <c r="C1794" s="14"/>
    </row>
    <row r="1795" spans="3:3" x14ac:dyDescent="0.3">
      <c r="C1795" s="14"/>
    </row>
    <row r="1796" spans="3:3" x14ac:dyDescent="0.3">
      <c r="C1796" s="14"/>
    </row>
    <row r="1797" spans="3:3" x14ac:dyDescent="0.3">
      <c r="C1797" s="14"/>
    </row>
    <row r="1798" spans="3:3" x14ac:dyDescent="0.3">
      <c r="C1798" s="14"/>
    </row>
    <row r="1799" spans="3:3" x14ac:dyDescent="0.3">
      <c r="C1799" s="14"/>
    </row>
    <row r="1800" spans="3:3" x14ac:dyDescent="0.3">
      <c r="C1800" s="14"/>
    </row>
    <row r="1801" spans="3:3" x14ac:dyDescent="0.3">
      <c r="C1801" s="14"/>
    </row>
    <row r="1802" spans="3:3" x14ac:dyDescent="0.3">
      <c r="C1802" s="14"/>
    </row>
    <row r="1803" spans="3:3" x14ac:dyDescent="0.3">
      <c r="C1803" s="14"/>
    </row>
    <row r="1804" spans="3:3" x14ac:dyDescent="0.3">
      <c r="C1804" s="14"/>
    </row>
    <row r="1805" spans="3:3" x14ac:dyDescent="0.3">
      <c r="C1805" s="14"/>
    </row>
    <row r="1806" spans="3:3" x14ac:dyDescent="0.3">
      <c r="C1806" s="14"/>
    </row>
    <row r="1807" spans="3:3" x14ac:dyDescent="0.3">
      <c r="C1807" s="14"/>
    </row>
    <row r="1808" spans="3:3" x14ac:dyDescent="0.3">
      <c r="C1808" s="14"/>
    </row>
    <row r="1809" spans="3:3" x14ac:dyDescent="0.3">
      <c r="C1809" s="14"/>
    </row>
    <row r="1810" spans="3:3" x14ac:dyDescent="0.3">
      <c r="C1810" s="14"/>
    </row>
    <row r="1811" spans="3:3" x14ac:dyDescent="0.3">
      <c r="C1811" s="14"/>
    </row>
    <row r="1812" spans="3:3" x14ac:dyDescent="0.3">
      <c r="C1812" s="14"/>
    </row>
    <row r="1813" spans="3:3" x14ac:dyDescent="0.3">
      <c r="C1813" s="14"/>
    </row>
    <row r="1814" spans="3:3" x14ac:dyDescent="0.3">
      <c r="C1814" s="14"/>
    </row>
    <row r="1815" spans="3:3" x14ac:dyDescent="0.3">
      <c r="C1815" s="14"/>
    </row>
    <row r="1816" spans="3:3" x14ac:dyDescent="0.3">
      <c r="C1816" s="14"/>
    </row>
    <row r="1817" spans="3:3" x14ac:dyDescent="0.3">
      <c r="C1817" s="14"/>
    </row>
    <row r="1818" spans="3:3" x14ac:dyDescent="0.3">
      <c r="C1818" s="14"/>
    </row>
    <row r="1819" spans="3:3" x14ac:dyDescent="0.3">
      <c r="C1819" s="14"/>
    </row>
    <row r="1820" spans="3:3" x14ac:dyDescent="0.3">
      <c r="C1820" s="14"/>
    </row>
    <row r="1821" spans="3:3" x14ac:dyDescent="0.3">
      <c r="C1821" s="14"/>
    </row>
    <row r="1822" spans="3:3" x14ac:dyDescent="0.3">
      <c r="C1822" s="14"/>
    </row>
    <row r="1823" spans="3:3" x14ac:dyDescent="0.3">
      <c r="C1823" s="14"/>
    </row>
    <row r="1824" spans="3:3" x14ac:dyDescent="0.3">
      <c r="C1824" s="14"/>
    </row>
    <row r="1825" spans="3:3" x14ac:dyDescent="0.3">
      <c r="C1825" s="14"/>
    </row>
    <row r="1826" spans="3:3" x14ac:dyDescent="0.3">
      <c r="C1826" s="14"/>
    </row>
    <row r="1827" spans="3:3" x14ac:dyDescent="0.3">
      <c r="C1827" s="14"/>
    </row>
    <row r="1828" spans="3:3" x14ac:dyDescent="0.3">
      <c r="C1828" s="14"/>
    </row>
    <row r="1829" spans="3:3" x14ac:dyDescent="0.3">
      <c r="C1829" s="14"/>
    </row>
    <row r="1830" spans="3:3" x14ac:dyDescent="0.3">
      <c r="C1830" s="14"/>
    </row>
    <row r="1831" spans="3:3" x14ac:dyDescent="0.3">
      <c r="C1831" s="14"/>
    </row>
    <row r="1832" spans="3:3" x14ac:dyDescent="0.3">
      <c r="C1832" s="14"/>
    </row>
    <row r="1833" spans="3:3" x14ac:dyDescent="0.3">
      <c r="C1833" s="14"/>
    </row>
    <row r="1834" spans="3:3" x14ac:dyDescent="0.3">
      <c r="C1834" s="14"/>
    </row>
    <row r="1835" spans="3:3" x14ac:dyDescent="0.3">
      <c r="C1835" s="14"/>
    </row>
    <row r="1836" spans="3:3" x14ac:dyDescent="0.3">
      <c r="C1836" s="14"/>
    </row>
    <row r="1837" spans="3:3" x14ac:dyDescent="0.3">
      <c r="C1837" s="14"/>
    </row>
    <row r="1838" spans="3:3" x14ac:dyDescent="0.3">
      <c r="C1838" s="14"/>
    </row>
    <row r="1839" spans="3:3" x14ac:dyDescent="0.3">
      <c r="C1839" s="14"/>
    </row>
    <row r="1840" spans="3:3" x14ac:dyDescent="0.3">
      <c r="C1840" s="14"/>
    </row>
    <row r="1841" spans="3:3" x14ac:dyDescent="0.3">
      <c r="C1841" s="14"/>
    </row>
    <row r="1842" spans="3:3" x14ac:dyDescent="0.3">
      <c r="C1842" s="14"/>
    </row>
    <row r="1843" spans="3:3" x14ac:dyDescent="0.3">
      <c r="C1843" s="14"/>
    </row>
    <row r="1844" spans="3:3" x14ac:dyDescent="0.3">
      <c r="C1844" s="14"/>
    </row>
    <row r="1845" spans="3:3" x14ac:dyDescent="0.3">
      <c r="C1845" s="14"/>
    </row>
    <row r="1846" spans="3:3" x14ac:dyDescent="0.3">
      <c r="C1846" s="14"/>
    </row>
    <row r="1847" spans="3:3" x14ac:dyDescent="0.3">
      <c r="C1847" s="14"/>
    </row>
    <row r="1848" spans="3:3" x14ac:dyDescent="0.3">
      <c r="C1848" s="14"/>
    </row>
    <row r="1849" spans="3:3" x14ac:dyDescent="0.3">
      <c r="C1849" s="14"/>
    </row>
    <row r="1850" spans="3:3" x14ac:dyDescent="0.3">
      <c r="C1850" s="14"/>
    </row>
    <row r="1851" spans="3:3" x14ac:dyDescent="0.3">
      <c r="C1851" s="14"/>
    </row>
    <row r="1852" spans="3:3" x14ac:dyDescent="0.3">
      <c r="C1852" s="14"/>
    </row>
    <row r="1853" spans="3:3" x14ac:dyDescent="0.3">
      <c r="C1853" s="14"/>
    </row>
    <row r="1854" spans="3:3" x14ac:dyDescent="0.3">
      <c r="C1854" s="14"/>
    </row>
    <row r="1855" spans="3:3" x14ac:dyDescent="0.3">
      <c r="C1855" s="14"/>
    </row>
    <row r="1856" spans="3:3" x14ac:dyDescent="0.3">
      <c r="C1856" s="14"/>
    </row>
    <row r="1857" spans="3:3" x14ac:dyDescent="0.3">
      <c r="C1857" s="14"/>
    </row>
    <row r="1858" spans="3:3" x14ac:dyDescent="0.3">
      <c r="C1858" s="14"/>
    </row>
    <row r="1859" spans="3:3" x14ac:dyDescent="0.3">
      <c r="C1859" s="14"/>
    </row>
    <row r="1860" spans="3:3" x14ac:dyDescent="0.3">
      <c r="C1860" s="14"/>
    </row>
    <row r="1861" spans="3:3" x14ac:dyDescent="0.3">
      <c r="C1861" s="14"/>
    </row>
    <row r="1862" spans="3:3" x14ac:dyDescent="0.3">
      <c r="C1862" s="14"/>
    </row>
    <row r="1863" spans="3:3" x14ac:dyDescent="0.3">
      <c r="C1863" s="14"/>
    </row>
    <row r="1864" spans="3:3" x14ac:dyDescent="0.3">
      <c r="C1864" s="14"/>
    </row>
    <row r="1865" spans="3:3" x14ac:dyDescent="0.3">
      <c r="C1865" s="14"/>
    </row>
    <row r="1866" spans="3:3" x14ac:dyDescent="0.3">
      <c r="C1866" s="14"/>
    </row>
    <row r="1867" spans="3:3" x14ac:dyDescent="0.3">
      <c r="C1867" s="14"/>
    </row>
    <row r="1868" spans="3:3" x14ac:dyDescent="0.3">
      <c r="C1868" s="14"/>
    </row>
    <row r="1869" spans="3:3" x14ac:dyDescent="0.3">
      <c r="C1869" s="14"/>
    </row>
    <row r="1870" spans="3:3" x14ac:dyDescent="0.3">
      <c r="C1870" s="14"/>
    </row>
    <row r="1871" spans="3:3" x14ac:dyDescent="0.3">
      <c r="C1871" s="14"/>
    </row>
    <row r="1872" spans="3:3" x14ac:dyDescent="0.3">
      <c r="C1872" s="14"/>
    </row>
    <row r="1873" spans="3:3" x14ac:dyDescent="0.3">
      <c r="C1873" s="14"/>
    </row>
    <row r="1874" spans="3:3" x14ac:dyDescent="0.3">
      <c r="C1874" s="14"/>
    </row>
    <row r="1875" spans="3:3" x14ac:dyDescent="0.3">
      <c r="C1875" s="14"/>
    </row>
    <row r="1876" spans="3:3" x14ac:dyDescent="0.3">
      <c r="C1876" s="14"/>
    </row>
    <row r="1877" spans="3:3" x14ac:dyDescent="0.3">
      <c r="C1877" s="14"/>
    </row>
    <row r="1878" spans="3:3" x14ac:dyDescent="0.3">
      <c r="C1878" s="14"/>
    </row>
    <row r="1879" spans="3:3" x14ac:dyDescent="0.3">
      <c r="C1879" s="14"/>
    </row>
    <row r="1880" spans="3:3" x14ac:dyDescent="0.3">
      <c r="C1880" s="14"/>
    </row>
    <row r="1881" spans="3:3" x14ac:dyDescent="0.3">
      <c r="C1881" s="14"/>
    </row>
    <row r="1882" spans="3:3" x14ac:dyDescent="0.3">
      <c r="C1882" s="14"/>
    </row>
    <row r="1883" spans="3:3" x14ac:dyDescent="0.3">
      <c r="C1883" s="14"/>
    </row>
    <row r="1884" spans="3:3" x14ac:dyDescent="0.3">
      <c r="C1884" s="14"/>
    </row>
    <row r="1885" spans="3:3" x14ac:dyDescent="0.3">
      <c r="C1885" s="14"/>
    </row>
    <row r="1886" spans="3:3" x14ac:dyDescent="0.3">
      <c r="C1886" s="14"/>
    </row>
    <row r="1887" spans="3:3" x14ac:dyDescent="0.3">
      <c r="C1887" s="14"/>
    </row>
    <row r="1888" spans="3:3" x14ac:dyDescent="0.3">
      <c r="C1888" s="14"/>
    </row>
    <row r="1889" spans="3:3" x14ac:dyDescent="0.3">
      <c r="C1889" s="14"/>
    </row>
    <row r="1890" spans="3:3" x14ac:dyDescent="0.3">
      <c r="C1890" s="14"/>
    </row>
    <row r="1891" spans="3:3" x14ac:dyDescent="0.3">
      <c r="C1891" s="14"/>
    </row>
    <row r="1892" spans="3:3" x14ac:dyDescent="0.3">
      <c r="C1892" s="14"/>
    </row>
    <row r="1893" spans="3:3" x14ac:dyDescent="0.3">
      <c r="C1893" s="14"/>
    </row>
    <row r="1894" spans="3:3" x14ac:dyDescent="0.3">
      <c r="C1894" s="14"/>
    </row>
    <row r="1895" spans="3:3" x14ac:dyDescent="0.3">
      <c r="C1895" s="14"/>
    </row>
    <row r="1896" spans="3:3" x14ac:dyDescent="0.3">
      <c r="C1896" s="14"/>
    </row>
    <row r="1897" spans="3:3" x14ac:dyDescent="0.3">
      <c r="C1897" s="14"/>
    </row>
    <row r="1898" spans="3:3" x14ac:dyDescent="0.3">
      <c r="C1898" s="14"/>
    </row>
    <row r="1899" spans="3:3" x14ac:dyDescent="0.3">
      <c r="C1899" s="14"/>
    </row>
    <row r="1900" spans="3:3" x14ac:dyDescent="0.3">
      <c r="C1900" s="14"/>
    </row>
    <row r="1901" spans="3:3" x14ac:dyDescent="0.3">
      <c r="C1901" s="14"/>
    </row>
    <row r="1902" spans="3:3" x14ac:dyDescent="0.3">
      <c r="C1902" s="14"/>
    </row>
    <row r="1903" spans="3:3" x14ac:dyDescent="0.3">
      <c r="C1903" s="14"/>
    </row>
    <row r="1904" spans="3:3" x14ac:dyDescent="0.3">
      <c r="C1904" s="14"/>
    </row>
    <row r="1905" spans="3:3" x14ac:dyDescent="0.3">
      <c r="C1905" s="14"/>
    </row>
    <row r="1906" spans="3:3" x14ac:dyDescent="0.3">
      <c r="C1906" s="14"/>
    </row>
    <row r="1907" spans="3:3" x14ac:dyDescent="0.3">
      <c r="C1907" s="14"/>
    </row>
    <row r="1908" spans="3:3" x14ac:dyDescent="0.3">
      <c r="C1908" s="14"/>
    </row>
    <row r="1909" spans="3:3" x14ac:dyDescent="0.3">
      <c r="C1909" s="14"/>
    </row>
    <row r="1910" spans="3:3" x14ac:dyDescent="0.3">
      <c r="C1910" s="14"/>
    </row>
    <row r="1911" spans="3:3" x14ac:dyDescent="0.3">
      <c r="C1911" s="14"/>
    </row>
    <row r="1912" spans="3:3" x14ac:dyDescent="0.3">
      <c r="C1912" s="14"/>
    </row>
    <row r="1913" spans="3:3" x14ac:dyDescent="0.3">
      <c r="C1913" s="14"/>
    </row>
    <row r="1914" spans="3:3" x14ac:dyDescent="0.3">
      <c r="C1914" s="14"/>
    </row>
    <row r="1915" spans="3:3" x14ac:dyDescent="0.3">
      <c r="C1915" s="14"/>
    </row>
    <row r="1916" spans="3:3" x14ac:dyDescent="0.3">
      <c r="C1916" s="14"/>
    </row>
    <row r="1917" spans="3:3" x14ac:dyDescent="0.3">
      <c r="C1917" s="14"/>
    </row>
    <row r="1918" spans="3:3" x14ac:dyDescent="0.3">
      <c r="C1918" s="14"/>
    </row>
    <row r="1919" spans="3:3" x14ac:dyDescent="0.3">
      <c r="C1919" s="14"/>
    </row>
    <row r="1920" spans="3:3" x14ac:dyDescent="0.3">
      <c r="C1920" s="14"/>
    </row>
    <row r="1921" spans="3:3" x14ac:dyDescent="0.3">
      <c r="C1921" s="14"/>
    </row>
    <row r="1922" spans="3:3" x14ac:dyDescent="0.3">
      <c r="C1922" s="14"/>
    </row>
    <row r="1923" spans="3:3" x14ac:dyDescent="0.3">
      <c r="C1923" s="14"/>
    </row>
    <row r="1924" spans="3:3" x14ac:dyDescent="0.3">
      <c r="C1924" s="14"/>
    </row>
    <row r="1925" spans="3:3" x14ac:dyDescent="0.3">
      <c r="C1925" s="14"/>
    </row>
    <row r="1926" spans="3:3" x14ac:dyDescent="0.3">
      <c r="C1926" s="14"/>
    </row>
    <row r="1927" spans="3:3" x14ac:dyDescent="0.3">
      <c r="C1927" s="14"/>
    </row>
    <row r="1928" spans="3:3" x14ac:dyDescent="0.3">
      <c r="C1928" s="14"/>
    </row>
    <row r="1929" spans="3:3" x14ac:dyDescent="0.3">
      <c r="C1929" s="14"/>
    </row>
    <row r="1930" spans="3:3" x14ac:dyDescent="0.3">
      <c r="C1930" s="14"/>
    </row>
    <row r="1931" spans="3:3" x14ac:dyDescent="0.3">
      <c r="C1931" s="14"/>
    </row>
    <row r="1932" spans="3:3" x14ac:dyDescent="0.3">
      <c r="C1932" s="14"/>
    </row>
    <row r="1933" spans="3:3" x14ac:dyDescent="0.3">
      <c r="C1933" s="14"/>
    </row>
    <row r="1934" spans="3:3" x14ac:dyDescent="0.3">
      <c r="C1934" s="14"/>
    </row>
    <row r="1935" spans="3:3" x14ac:dyDescent="0.3">
      <c r="C1935" s="14"/>
    </row>
    <row r="1936" spans="3:3" x14ac:dyDescent="0.3">
      <c r="C1936" s="14"/>
    </row>
    <row r="1937" spans="3:3" x14ac:dyDescent="0.3">
      <c r="C1937" s="14"/>
    </row>
    <row r="1938" spans="3:3" x14ac:dyDescent="0.3">
      <c r="C1938" s="14"/>
    </row>
    <row r="1939" spans="3:3" x14ac:dyDescent="0.3">
      <c r="C1939" s="14"/>
    </row>
    <row r="1940" spans="3:3" x14ac:dyDescent="0.3">
      <c r="C1940" s="14"/>
    </row>
    <row r="1941" spans="3:3" x14ac:dyDescent="0.3">
      <c r="C1941" s="14"/>
    </row>
    <row r="1942" spans="3:3" x14ac:dyDescent="0.3">
      <c r="C1942" s="14"/>
    </row>
    <row r="1943" spans="3:3" x14ac:dyDescent="0.3">
      <c r="C1943" s="14"/>
    </row>
    <row r="1944" spans="3:3" x14ac:dyDescent="0.3">
      <c r="C1944" s="14"/>
    </row>
    <row r="1945" spans="3:3" x14ac:dyDescent="0.3">
      <c r="C1945" s="14"/>
    </row>
    <row r="1946" spans="3:3" x14ac:dyDescent="0.3">
      <c r="C1946" s="14"/>
    </row>
    <row r="1947" spans="3:3" x14ac:dyDescent="0.3">
      <c r="C1947" s="14"/>
    </row>
    <row r="1948" spans="3:3" x14ac:dyDescent="0.3">
      <c r="C1948" s="14"/>
    </row>
    <row r="1949" spans="3:3" x14ac:dyDescent="0.3">
      <c r="C1949" s="14"/>
    </row>
    <row r="1950" spans="3:3" x14ac:dyDescent="0.3">
      <c r="C1950" s="14"/>
    </row>
    <row r="1951" spans="3:3" x14ac:dyDescent="0.3">
      <c r="C1951" s="14"/>
    </row>
    <row r="1952" spans="3:3" x14ac:dyDescent="0.3">
      <c r="C1952" s="14"/>
    </row>
    <row r="1953" spans="3:3" x14ac:dyDescent="0.3">
      <c r="C1953" s="14"/>
    </row>
    <row r="1954" spans="3:3" x14ac:dyDescent="0.3">
      <c r="C1954" s="14"/>
    </row>
    <row r="1955" spans="3:3" x14ac:dyDescent="0.3">
      <c r="C1955" s="14"/>
    </row>
    <row r="1956" spans="3:3" x14ac:dyDescent="0.3">
      <c r="C1956" s="14"/>
    </row>
    <row r="1957" spans="3:3" x14ac:dyDescent="0.3">
      <c r="C1957" s="14"/>
    </row>
    <row r="1958" spans="3:3" x14ac:dyDescent="0.3">
      <c r="C1958" s="14"/>
    </row>
    <row r="1959" spans="3:3" x14ac:dyDescent="0.3">
      <c r="C1959" s="14"/>
    </row>
    <row r="1960" spans="3:3" x14ac:dyDescent="0.3">
      <c r="C1960" s="14"/>
    </row>
    <row r="1961" spans="3:3" x14ac:dyDescent="0.3">
      <c r="C1961" s="14"/>
    </row>
    <row r="1962" spans="3:3" x14ac:dyDescent="0.3">
      <c r="C1962" s="14"/>
    </row>
    <row r="1963" spans="3:3" x14ac:dyDescent="0.3">
      <c r="C1963" s="14"/>
    </row>
    <row r="1964" spans="3:3" x14ac:dyDescent="0.3">
      <c r="C1964" s="14"/>
    </row>
    <row r="1965" spans="3:3" x14ac:dyDescent="0.3">
      <c r="C1965" s="14"/>
    </row>
    <row r="1966" spans="3:3" x14ac:dyDescent="0.3">
      <c r="C1966" s="14"/>
    </row>
    <row r="1967" spans="3:3" x14ac:dyDescent="0.3">
      <c r="C1967" s="14"/>
    </row>
    <row r="1968" spans="3:3" x14ac:dyDescent="0.3">
      <c r="C1968" s="14"/>
    </row>
    <row r="1969" spans="3:3" x14ac:dyDescent="0.3">
      <c r="C1969" s="14"/>
    </row>
    <row r="1970" spans="3:3" x14ac:dyDescent="0.3">
      <c r="C1970" s="14"/>
    </row>
    <row r="1971" spans="3:3" x14ac:dyDescent="0.3">
      <c r="C1971" s="14"/>
    </row>
    <row r="1972" spans="3:3" x14ac:dyDescent="0.3">
      <c r="C1972" s="14"/>
    </row>
    <row r="1973" spans="3:3" x14ac:dyDescent="0.3">
      <c r="C1973" s="14"/>
    </row>
    <row r="1974" spans="3:3" x14ac:dyDescent="0.3">
      <c r="C1974" s="14"/>
    </row>
    <row r="1975" spans="3:3" x14ac:dyDescent="0.3">
      <c r="C1975" s="14"/>
    </row>
    <row r="1976" spans="3:3" x14ac:dyDescent="0.3">
      <c r="C1976" s="14"/>
    </row>
    <row r="1977" spans="3:3" x14ac:dyDescent="0.3">
      <c r="C1977" s="14"/>
    </row>
    <row r="1978" spans="3:3" x14ac:dyDescent="0.3">
      <c r="C1978" s="14"/>
    </row>
    <row r="1979" spans="3:3" x14ac:dyDescent="0.3">
      <c r="C1979" s="14"/>
    </row>
    <row r="1980" spans="3:3" x14ac:dyDescent="0.3">
      <c r="C1980" s="14"/>
    </row>
    <row r="1981" spans="3:3" x14ac:dyDescent="0.3">
      <c r="C1981" s="14"/>
    </row>
    <row r="1982" spans="3:3" x14ac:dyDescent="0.3">
      <c r="C1982" s="14"/>
    </row>
    <row r="1983" spans="3:3" x14ac:dyDescent="0.3">
      <c r="C1983" s="14"/>
    </row>
    <row r="1984" spans="3:3" x14ac:dyDescent="0.3">
      <c r="C1984" s="14"/>
    </row>
    <row r="1985" spans="3:3" x14ac:dyDescent="0.3">
      <c r="C1985" s="14"/>
    </row>
    <row r="1986" spans="3:3" x14ac:dyDescent="0.3">
      <c r="C1986" s="14"/>
    </row>
    <row r="1987" spans="3:3" x14ac:dyDescent="0.3">
      <c r="C1987" s="14"/>
    </row>
    <row r="1988" spans="3:3" x14ac:dyDescent="0.3">
      <c r="C1988" s="14"/>
    </row>
    <row r="1989" spans="3:3" x14ac:dyDescent="0.3">
      <c r="C1989" s="14"/>
    </row>
    <row r="1990" spans="3:3" x14ac:dyDescent="0.3">
      <c r="C1990" s="14"/>
    </row>
    <row r="1991" spans="3:3" x14ac:dyDescent="0.3">
      <c r="C1991" s="14"/>
    </row>
    <row r="1992" spans="3:3" x14ac:dyDescent="0.3">
      <c r="C1992" s="14"/>
    </row>
    <row r="1993" spans="3:3" x14ac:dyDescent="0.3">
      <c r="C1993" s="14"/>
    </row>
    <row r="1994" spans="3:3" x14ac:dyDescent="0.3">
      <c r="C1994" s="14"/>
    </row>
    <row r="1995" spans="3:3" x14ac:dyDescent="0.3">
      <c r="C1995" s="14"/>
    </row>
    <row r="1996" spans="3:3" x14ac:dyDescent="0.3">
      <c r="C1996" s="14"/>
    </row>
    <row r="1997" spans="3:3" x14ac:dyDescent="0.3">
      <c r="C1997" s="14"/>
    </row>
    <row r="1998" spans="3:3" x14ac:dyDescent="0.3">
      <c r="C1998" s="14"/>
    </row>
    <row r="1999" spans="3:3" x14ac:dyDescent="0.3">
      <c r="C1999" s="14"/>
    </row>
    <row r="2000" spans="3:3" x14ac:dyDescent="0.3">
      <c r="C2000" s="14"/>
    </row>
    <row r="2001" spans="3:3" x14ac:dyDescent="0.3">
      <c r="C2001" s="14"/>
    </row>
    <row r="2002" spans="3:3" x14ac:dyDescent="0.3">
      <c r="C2002" s="14"/>
    </row>
    <row r="2003" spans="3:3" x14ac:dyDescent="0.3">
      <c r="C2003" s="14"/>
    </row>
    <row r="2004" spans="3:3" x14ac:dyDescent="0.3">
      <c r="C2004" s="14"/>
    </row>
    <row r="2005" spans="3:3" x14ac:dyDescent="0.3">
      <c r="C2005" s="14"/>
    </row>
    <row r="2006" spans="3:3" x14ac:dyDescent="0.3">
      <c r="C2006" s="14"/>
    </row>
    <row r="2007" spans="3:3" x14ac:dyDescent="0.3">
      <c r="C2007" s="14"/>
    </row>
    <row r="2008" spans="3:3" x14ac:dyDescent="0.3">
      <c r="C2008" s="14"/>
    </row>
    <row r="2009" spans="3:3" x14ac:dyDescent="0.3">
      <c r="C2009" s="14"/>
    </row>
    <row r="2010" spans="3:3" x14ac:dyDescent="0.3">
      <c r="C2010" s="14"/>
    </row>
    <row r="2011" spans="3:3" x14ac:dyDescent="0.3">
      <c r="C2011" s="14"/>
    </row>
    <row r="2012" spans="3:3" x14ac:dyDescent="0.3">
      <c r="C2012" s="14"/>
    </row>
    <row r="2013" spans="3:3" x14ac:dyDescent="0.3">
      <c r="C2013" s="14"/>
    </row>
    <row r="2014" spans="3:3" x14ac:dyDescent="0.3">
      <c r="C2014" s="14"/>
    </row>
    <row r="2015" spans="3:3" x14ac:dyDescent="0.3">
      <c r="C2015" s="14"/>
    </row>
    <row r="2016" spans="3:3" x14ac:dyDescent="0.3">
      <c r="C2016" s="14"/>
    </row>
    <row r="2017" spans="3:3" x14ac:dyDescent="0.3">
      <c r="C2017" s="14"/>
    </row>
    <row r="2018" spans="3:3" x14ac:dyDescent="0.3">
      <c r="C2018" s="14"/>
    </row>
    <row r="2019" spans="3:3" x14ac:dyDescent="0.3">
      <c r="C2019" s="14"/>
    </row>
    <row r="2020" spans="3:3" x14ac:dyDescent="0.3">
      <c r="C2020" s="14"/>
    </row>
    <row r="2021" spans="3:3" x14ac:dyDescent="0.3">
      <c r="C2021" s="14"/>
    </row>
    <row r="2022" spans="3:3" x14ac:dyDescent="0.3">
      <c r="C2022" s="14"/>
    </row>
    <row r="2023" spans="3:3" x14ac:dyDescent="0.3">
      <c r="C2023" s="14"/>
    </row>
    <row r="2024" spans="3:3" x14ac:dyDescent="0.3">
      <c r="C2024" s="14"/>
    </row>
    <row r="2025" spans="3:3" x14ac:dyDescent="0.3">
      <c r="C2025" s="14"/>
    </row>
    <row r="2026" spans="3:3" x14ac:dyDescent="0.3">
      <c r="C2026" s="14"/>
    </row>
    <row r="2027" spans="3:3" x14ac:dyDescent="0.3">
      <c r="C2027" s="14"/>
    </row>
    <row r="2028" spans="3:3" x14ac:dyDescent="0.3">
      <c r="C2028" s="14"/>
    </row>
    <row r="2029" spans="3:3" x14ac:dyDescent="0.3">
      <c r="C2029" s="14"/>
    </row>
    <row r="2030" spans="3:3" x14ac:dyDescent="0.3">
      <c r="C2030" s="14"/>
    </row>
    <row r="2031" spans="3:3" x14ac:dyDescent="0.3">
      <c r="C2031" s="14"/>
    </row>
    <row r="2032" spans="3:3" x14ac:dyDescent="0.3">
      <c r="C2032" s="14"/>
    </row>
    <row r="2033" spans="3:3" x14ac:dyDescent="0.3">
      <c r="C2033" s="14"/>
    </row>
    <row r="2034" spans="3:3" x14ac:dyDescent="0.3">
      <c r="C2034" s="14"/>
    </row>
    <row r="2035" spans="3:3" x14ac:dyDescent="0.3">
      <c r="C2035" s="14"/>
    </row>
    <row r="2036" spans="3:3" x14ac:dyDescent="0.3">
      <c r="C2036" s="14"/>
    </row>
    <row r="2037" spans="3:3" x14ac:dyDescent="0.3">
      <c r="C2037" s="14"/>
    </row>
    <row r="2038" spans="3:3" x14ac:dyDescent="0.3">
      <c r="C2038" s="14"/>
    </row>
    <row r="2039" spans="3:3" x14ac:dyDescent="0.3">
      <c r="C2039" s="14"/>
    </row>
    <row r="2040" spans="3:3" x14ac:dyDescent="0.3">
      <c r="C2040" s="14"/>
    </row>
    <row r="2041" spans="3:3" x14ac:dyDescent="0.3">
      <c r="C2041" s="14"/>
    </row>
    <row r="2042" spans="3:3" x14ac:dyDescent="0.3">
      <c r="C2042" s="14"/>
    </row>
    <row r="2043" spans="3:3" x14ac:dyDescent="0.3">
      <c r="C2043" s="14"/>
    </row>
    <row r="2044" spans="3:3" x14ac:dyDescent="0.3">
      <c r="C2044" s="14"/>
    </row>
    <row r="2045" spans="3:3" x14ac:dyDescent="0.3">
      <c r="C2045" s="14"/>
    </row>
    <row r="2046" spans="3:3" x14ac:dyDescent="0.3">
      <c r="C2046" s="14"/>
    </row>
    <row r="2047" spans="3:3" x14ac:dyDescent="0.3">
      <c r="C2047" s="14"/>
    </row>
    <row r="2048" spans="3:3" x14ac:dyDescent="0.3">
      <c r="C2048" s="14"/>
    </row>
    <row r="2049" spans="3:3" x14ac:dyDescent="0.3">
      <c r="C2049" s="14"/>
    </row>
    <row r="2050" spans="3:3" x14ac:dyDescent="0.3">
      <c r="C2050" s="14"/>
    </row>
    <row r="2051" spans="3:3" x14ac:dyDescent="0.3">
      <c r="C2051" s="14"/>
    </row>
    <row r="2052" spans="3:3" x14ac:dyDescent="0.3">
      <c r="C2052" s="14"/>
    </row>
    <row r="2053" spans="3:3" x14ac:dyDescent="0.3">
      <c r="C2053" s="14"/>
    </row>
    <row r="2054" spans="3:3" x14ac:dyDescent="0.3">
      <c r="C2054" s="14"/>
    </row>
    <row r="2055" spans="3:3" x14ac:dyDescent="0.3">
      <c r="C2055" s="14"/>
    </row>
    <row r="2056" spans="3:3" x14ac:dyDescent="0.3">
      <c r="C2056" s="14"/>
    </row>
    <row r="2057" spans="3:3" x14ac:dyDescent="0.3">
      <c r="C2057" s="14"/>
    </row>
    <row r="2058" spans="3:3" x14ac:dyDescent="0.3">
      <c r="C2058" s="14"/>
    </row>
    <row r="2059" spans="3:3" x14ac:dyDescent="0.3">
      <c r="C2059" s="14"/>
    </row>
    <row r="2060" spans="3:3" x14ac:dyDescent="0.3">
      <c r="C2060" s="14"/>
    </row>
    <row r="2061" spans="3:3" x14ac:dyDescent="0.3">
      <c r="C2061" s="14"/>
    </row>
    <row r="2062" spans="3:3" x14ac:dyDescent="0.3">
      <c r="C2062" s="14"/>
    </row>
    <row r="2063" spans="3:3" x14ac:dyDescent="0.3">
      <c r="C2063" s="14"/>
    </row>
    <row r="2064" spans="3:3" x14ac:dyDescent="0.3">
      <c r="C2064" s="14"/>
    </row>
    <row r="2065" spans="3:3" x14ac:dyDescent="0.3">
      <c r="C2065" s="14"/>
    </row>
    <row r="2066" spans="3:3" x14ac:dyDescent="0.3">
      <c r="C2066" s="14"/>
    </row>
    <row r="2067" spans="3:3" x14ac:dyDescent="0.3">
      <c r="C2067" s="14"/>
    </row>
    <row r="2068" spans="3:3" x14ac:dyDescent="0.3">
      <c r="C2068" s="14"/>
    </row>
    <row r="2069" spans="3:3" x14ac:dyDescent="0.3">
      <c r="C2069" s="14"/>
    </row>
    <row r="2070" spans="3:3" x14ac:dyDescent="0.3">
      <c r="C2070" s="14"/>
    </row>
    <row r="2071" spans="3:3" x14ac:dyDescent="0.3">
      <c r="C2071" s="14"/>
    </row>
    <row r="2072" spans="3:3" x14ac:dyDescent="0.3">
      <c r="C2072" s="14"/>
    </row>
    <row r="2073" spans="3:3" x14ac:dyDescent="0.3">
      <c r="C2073" s="14"/>
    </row>
    <row r="2074" spans="3:3" x14ac:dyDescent="0.3">
      <c r="C2074" s="14"/>
    </row>
    <row r="2075" spans="3:3" x14ac:dyDescent="0.3">
      <c r="C2075" s="14"/>
    </row>
    <row r="2076" spans="3:3" x14ac:dyDescent="0.3">
      <c r="C2076" s="14"/>
    </row>
    <row r="2077" spans="3:3" x14ac:dyDescent="0.3">
      <c r="C2077" s="14"/>
    </row>
    <row r="2078" spans="3:3" x14ac:dyDescent="0.3">
      <c r="C2078" s="14"/>
    </row>
    <row r="2079" spans="3:3" x14ac:dyDescent="0.3">
      <c r="C2079" s="14"/>
    </row>
    <row r="2080" spans="3:3" x14ac:dyDescent="0.3">
      <c r="C2080" s="14"/>
    </row>
    <row r="2081" spans="3:3" x14ac:dyDescent="0.3">
      <c r="C2081" s="14"/>
    </row>
    <row r="2082" spans="3:3" x14ac:dyDescent="0.3">
      <c r="C2082" s="14"/>
    </row>
    <row r="2083" spans="3:3" x14ac:dyDescent="0.3">
      <c r="C2083" s="14"/>
    </row>
    <row r="2084" spans="3:3" x14ac:dyDescent="0.3">
      <c r="C2084" s="14"/>
    </row>
    <row r="2085" spans="3:3" x14ac:dyDescent="0.3">
      <c r="C2085" s="14"/>
    </row>
    <row r="2086" spans="3:3" x14ac:dyDescent="0.3">
      <c r="C2086" s="14"/>
    </row>
    <row r="2087" spans="3:3" x14ac:dyDescent="0.3">
      <c r="C2087" s="14"/>
    </row>
    <row r="2088" spans="3:3" x14ac:dyDescent="0.3">
      <c r="C2088" s="14"/>
    </row>
    <row r="2089" spans="3:3" x14ac:dyDescent="0.3">
      <c r="C2089" s="14"/>
    </row>
    <row r="2090" spans="3:3" x14ac:dyDescent="0.3">
      <c r="C2090" s="14"/>
    </row>
    <row r="2091" spans="3:3" x14ac:dyDescent="0.3">
      <c r="C2091" s="14"/>
    </row>
    <row r="2092" spans="3:3" x14ac:dyDescent="0.3">
      <c r="C2092" s="14"/>
    </row>
    <row r="2093" spans="3:3" x14ac:dyDescent="0.3">
      <c r="C2093" s="14"/>
    </row>
    <row r="2094" spans="3:3" x14ac:dyDescent="0.3">
      <c r="C2094" s="14"/>
    </row>
    <row r="2095" spans="3:3" x14ac:dyDescent="0.3">
      <c r="C2095" s="14"/>
    </row>
    <row r="2096" spans="3:3" x14ac:dyDescent="0.3">
      <c r="C2096" s="14"/>
    </row>
    <row r="2097" spans="3:3" x14ac:dyDescent="0.3">
      <c r="C2097" s="14"/>
    </row>
    <row r="2098" spans="3:3" x14ac:dyDescent="0.3">
      <c r="C2098" s="14"/>
    </row>
    <row r="2099" spans="3:3" x14ac:dyDescent="0.3">
      <c r="C2099" s="14"/>
    </row>
    <row r="2100" spans="3:3" x14ac:dyDescent="0.3">
      <c r="C2100" s="14"/>
    </row>
    <row r="2101" spans="3:3" x14ac:dyDescent="0.3">
      <c r="C2101" s="14"/>
    </row>
    <row r="2102" spans="3:3" x14ac:dyDescent="0.3">
      <c r="C2102" s="14"/>
    </row>
    <row r="2103" spans="3:3" x14ac:dyDescent="0.3">
      <c r="C2103" s="14"/>
    </row>
    <row r="2104" spans="3:3" x14ac:dyDescent="0.3">
      <c r="C2104" s="14"/>
    </row>
    <row r="2105" spans="3:3" x14ac:dyDescent="0.3">
      <c r="C2105" s="14"/>
    </row>
    <row r="2106" spans="3:3" x14ac:dyDescent="0.3">
      <c r="C2106" s="14"/>
    </row>
    <row r="2107" spans="3:3" x14ac:dyDescent="0.3">
      <c r="C2107" s="14"/>
    </row>
    <row r="2108" spans="3:3" x14ac:dyDescent="0.3">
      <c r="C2108" s="14"/>
    </row>
    <row r="2109" spans="3:3" x14ac:dyDescent="0.3">
      <c r="C2109" s="14"/>
    </row>
    <row r="2110" spans="3:3" x14ac:dyDescent="0.3">
      <c r="C2110" s="14"/>
    </row>
    <row r="2111" spans="3:3" x14ac:dyDescent="0.3">
      <c r="C2111" s="14"/>
    </row>
    <row r="2112" spans="3:3" x14ac:dyDescent="0.3">
      <c r="C2112" s="14"/>
    </row>
    <row r="2113" spans="3:3" x14ac:dyDescent="0.3">
      <c r="C2113" s="14"/>
    </row>
    <row r="2114" spans="3:3" x14ac:dyDescent="0.3">
      <c r="C2114" s="14"/>
    </row>
    <row r="2115" spans="3:3" x14ac:dyDescent="0.3">
      <c r="C2115" s="14"/>
    </row>
    <row r="2116" spans="3:3" x14ac:dyDescent="0.3">
      <c r="C2116" s="14"/>
    </row>
    <row r="2117" spans="3:3" x14ac:dyDescent="0.3">
      <c r="C2117" s="14"/>
    </row>
    <row r="2118" spans="3:3" x14ac:dyDescent="0.3">
      <c r="C2118" s="14"/>
    </row>
    <row r="2119" spans="3:3" x14ac:dyDescent="0.3">
      <c r="C2119" s="14"/>
    </row>
    <row r="2120" spans="3:3" x14ac:dyDescent="0.3">
      <c r="C2120" s="14"/>
    </row>
    <row r="2121" spans="3:3" x14ac:dyDescent="0.3">
      <c r="C2121" s="14"/>
    </row>
    <row r="2122" spans="3:3" x14ac:dyDescent="0.3">
      <c r="C2122" s="14"/>
    </row>
    <row r="2123" spans="3:3" x14ac:dyDescent="0.3">
      <c r="C2123" s="14"/>
    </row>
    <row r="2124" spans="3:3" x14ac:dyDescent="0.3">
      <c r="C2124" s="14"/>
    </row>
    <row r="2125" spans="3:3" x14ac:dyDescent="0.3">
      <c r="C2125" s="14"/>
    </row>
    <row r="2126" spans="3:3" x14ac:dyDescent="0.3">
      <c r="C2126" s="14"/>
    </row>
    <row r="2127" spans="3:3" x14ac:dyDescent="0.3">
      <c r="C2127" s="14"/>
    </row>
    <row r="2128" spans="3:3" x14ac:dyDescent="0.3">
      <c r="C2128" s="14"/>
    </row>
    <row r="2129" spans="3:3" x14ac:dyDescent="0.3">
      <c r="C2129" s="14"/>
    </row>
    <row r="2130" spans="3:3" x14ac:dyDescent="0.3">
      <c r="C2130" s="14"/>
    </row>
    <row r="2131" spans="3:3" x14ac:dyDescent="0.3">
      <c r="C2131" s="14"/>
    </row>
    <row r="2132" spans="3:3" x14ac:dyDescent="0.3">
      <c r="C2132" s="14"/>
    </row>
    <row r="2133" spans="3:3" x14ac:dyDescent="0.3">
      <c r="C2133" s="14"/>
    </row>
    <row r="2134" spans="3:3" x14ac:dyDescent="0.3">
      <c r="C2134" s="14"/>
    </row>
    <row r="2135" spans="3:3" x14ac:dyDescent="0.3">
      <c r="C2135" s="14"/>
    </row>
    <row r="2136" spans="3:3" x14ac:dyDescent="0.3">
      <c r="C2136" s="14"/>
    </row>
    <row r="2137" spans="3:3" x14ac:dyDescent="0.3">
      <c r="C2137" s="14"/>
    </row>
    <row r="2138" spans="3:3" x14ac:dyDescent="0.3">
      <c r="C2138" s="14"/>
    </row>
    <row r="2139" spans="3:3" x14ac:dyDescent="0.3">
      <c r="C2139" s="14"/>
    </row>
    <row r="2140" spans="3:3" x14ac:dyDescent="0.3">
      <c r="C2140" s="14"/>
    </row>
    <row r="2141" spans="3:3" x14ac:dyDescent="0.3">
      <c r="C2141" s="14"/>
    </row>
    <row r="2142" spans="3:3" x14ac:dyDescent="0.3">
      <c r="C2142" s="14"/>
    </row>
    <row r="2143" spans="3:3" x14ac:dyDescent="0.3">
      <c r="C2143" s="14"/>
    </row>
    <row r="2144" spans="3:3" x14ac:dyDescent="0.3">
      <c r="C2144" s="14"/>
    </row>
    <row r="2145" spans="3:3" x14ac:dyDescent="0.3">
      <c r="C2145" s="14"/>
    </row>
    <row r="2146" spans="3:3" x14ac:dyDescent="0.3">
      <c r="C2146" s="14"/>
    </row>
    <row r="2147" spans="3:3" x14ac:dyDescent="0.3">
      <c r="C2147" s="14"/>
    </row>
    <row r="2148" spans="3:3" x14ac:dyDescent="0.3">
      <c r="C2148" s="14"/>
    </row>
    <row r="2149" spans="3:3" x14ac:dyDescent="0.3">
      <c r="C2149" s="14"/>
    </row>
    <row r="2150" spans="3:3" x14ac:dyDescent="0.3">
      <c r="C2150" s="14"/>
    </row>
    <row r="2151" spans="3:3" x14ac:dyDescent="0.3">
      <c r="C2151" s="14"/>
    </row>
    <row r="2152" spans="3:3" x14ac:dyDescent="0.3">
      <c r="C2152" s="14"/>
    </row>
    <row r="2153" spans="3:3" x14ac:dyDescent="0.3">
      <c r="C2153" s="14"/>
    </row>
    <row r="2154" spans="3:3" x14ac:dyDescent="0.3">
      <c r="C2154" s="14"/>
    </row>
    <row r="2155" spans="3:3" x14ac:dyDescent="0.3">
      <c r="C2155" s="14"/>
    </row>
    <row r="2156" spans="3:3" x14ac:dyDescent="0.3">
      <c r="C2156" s="14"/>
    </row>
    <row r="2157" spans="3:3" x14ac:dyDescent="0.3">
      <c r="C2157" s="14"/>
    </row>
    <row r="2158" spans="3:3" x14ac:dyDescent="0.3">
      <c r="C2158" s="14"/>
    </row>
    <row r="2159" spans="3:3" x14ac:dyDescent="0.3">
      <c r="C2159" s="14"/>
    </row>
    <row r="2160" spans="3:3" x14ac:dyDescent="0.3">
      <c r="C2160" s="14"/>
    </row>
    <row r="2161" spans="3:3" x14ac:dyDescent="0.3">
      <c r="C2161" s="14"/>
    </row>
    <row r="2162" spans="3:3" x14ac:dyDescent="0.3">
      <c r="C2162" s="14"/>
    </row>
    <row r="2163" spans="3:3" x14ac:dyDescent="0.3">
      <c r="C2163" s="14"/>
    </row>
    <row r="2164" spans="3:3" x14ac:dyDescent="0.3">
      <c r="C2164" s="14"/>
    </row>
    <row r="2165" spans="3:3" x14ac:dyDescent="0.3">
      <c r="C2165" s="14"/>
    </row>
    <row r="2166" spans="3:3" x14ac:dyDescent="0.3">
      <c r="C2166" s="14"/>
    </row>
    <row r="2167" spans="3:3" x14ac:dyDescent="0.3">
      <c r="C2167" s="14"/>
    </row>
    <row r="2168" spans="3:3" x14ac:dyDescent="0.3">
      <c r="C2168" s="14"/>
    </row>
    <row r="2169" spans="3:3" x14ac:dyDescent="0.3">
      <c r="C2169" s="14"/>
    </row>
    <row r="2170" spans="3:3" x14ac:dyDescent="0.3">
      <c r="C2170" s="14"/>
    </row>
    <row r="2171" spans="3:3" x14ac:dyDescent="0.3">
      <c r="C2171" s="14"/>
    </row>
    <row r="2172" spans="3:3" x14ac:dyDescent="0.3">
      <c r="C2172" s="14"/>
    </row>
    <row r="2173" spans="3:3" x14ac:dyDescent="0.3">
      <c r="C2173" s="14"/>
    </row>
    <row r="2174" spans="3:3" x14ac:dyDescent="0.3">
      <c r="C2174" s="14"/>
    </row>
    <row r="2175" spans="3:3" x14ac:dyDescent="0.3">
      <c r="C2175" s="14"/>
    </row>
    <row r="2176" spans="3:3" x14ac:dyDescent="0.3">
      <c r="C2176" s="14"/>
    </row>
    <row r="2177" spans="3:3" x14ac:dyDescent="0.3">
      <c r="C2177" s="14"/>
    </row>
    <row r="2178" spans="3:3" x14ac:dyDescent="0.3">
      <c r="C2178" s="14"/>
    </row>
    <row r="2179" spans="3:3" x14ac:dyDescent="0.3">
      <c r="C2179" s="14"/>
    </row>
    <row r="2180" spans="3:3" x14ac:dyDescent="0.3">
      <c r="C2180" s="14"/>
    </row>
    <row r="2181" spans="3:3" x14ac:dyDescent="0.3">
      <c r="C2181" s="14"/>
    </row>
    <row r="2182" spans="3:3" x14ac:dyDescent="0.3">
      <c r="C2182" s="14"/>
    </row>
    <row r="2183" spans="3:3" x14ac:dyDescent="0.3">
      <c r="C2183" s="14"/>
    </row>
    <row r="2184" spans="3:3" x14ac:dyDescent="0.3">
      <c r="C2184" s="14"/>
    </row>
    <row r="2185" spans="3:3" x14ac:dyDescent="0.3">
      <c r="C2185" s="14"/>
    </row>
    <row r="2186" spans="3:3" x14ac:dyDescent="0.3">
      <c r="C2186" s="14"/>
    </row>
    <row r="2187" spans="3:3" x14ac:dyDescent="0.3">
      <c r="C2187" s="14"/>
    </row>
    <row r="2188" spans="3:3" x14ac:dyDescent="0.3">
      <c r="C2188" s="14"/>
    </row>
    <row r="2189" spans="3:3" x14ac:dyDescent="0.3">
      <c r="C2189" s="14"/>
    </row>
    <row r="2190" spans="3:3" x14ac:dyDescent="0.3">
      <c r="C2190" s="14"/>
    </row>
    <row r="2191" spans="3:3" x14ac:dyDescent="0.3">
      <c r="C2191" s="14"/>
    </row>
    <row r="2192" spans="3:3" x14ac:dyDescent="0.3">
      <c r="C2192" s="14"/>
    </row>
    <row r="2193" spans="3:3" x14ac:dyDescent="0.3">
      <c r="C2193" s="14"/>
    </row>
    <row r="2194" spans="3:3" x14ac:dyDescent="0.3">
      <c r="C2194" s="14"/>
    </row>
    <row r="2195" spans="3:3" x14ac:dyDescent="0.3">
      <c r="C2195" s="14"/>
    </row>
    <row r="2196" spans="3:3" x14ac:dyDescent="0.3">
      <c r="C2196" s="14"/>
    </row>
    <row r="2197" spans="3:3" x14ac:dyDescent="0.3">
      <c r="C2197" s="14"/>
    </row>
    <row r="2198" spans="3:3" x14ac:dyDescent="0.3">
      <c r="C2198" s="14"/>
    </row>
    <row r="2199" spans="3:3" x14ac:dyDescent="0.3">
      <c r="C2199" s="14"/>
    </row>
    <row r="2200" spans="3:3" x14ac:dyDescent="0.3">
      <c r="C2200" s="14"/>
    </row>
    <row r="2201" spans="3:3" x14ac:dyDescent="0.3">
      <c r="C2201" s="14"/>
    </row>
    <row r="2202" spans="3:3" x14ac:dyDescent="0.3">
      <c r="C2202" s="14"/>
    </row>
    <row r="2203" spans="3:3" x14ac:dyDescent="0.3">
      <c r="C2203" s="14"/>
    </row>
    <row r="2204" spans="3:3" x14ac:dyDescent="0.3">
      <c r="C2204" s="14"/>
    </row>
    <row r="2205" spans="3:3" x14ac:dyDescent="0.3">
      <c r="C2205" s="14"/>
    </row>
    <row r="2206" spans="3:3" x14ac:dyDescent="0.3">
      <c r="C2206" s="14"/>
    </row>
    <row r="2207" spans="3:3" x14ac:dyDescent="0.3">
      <c r="C2207" s="14"/>
    </row>
    <row r="2208" spans="3:3" x14ac:dyDescent="0.3">
      <c r="C2208" s="14"/>
    </row>
    <row r="2209" spans="3:3" x14ac:dyDescent="0.3">
      <c r="C2209" s="14"/>
    </row>
    <row r="2210" spans="3:3" x14ac:dyDescent="0.3">
      <c r="C2210" s="14"/>
    </row>
    <row r="2211" spans="3:3" x14ac:dyDescent="0.3">
      <c r="C2211" s="14"/>
    </row>
    <row r="2212" spans="3:3" x14ac:dyDescent="0.3">
      <c r="C2212" s="14"/>
    </row>
    <row r="2213" spans="3:3" x14ac:dyDescent="0.3">
      <c r="C2213" s="14"/>
    </row>
    <row r="2214" spans="3:3" x14ac:dyDescent="0.3">
      <c r="C2214" s="14"/>
    </row>
    <row r="2215" spans="3:3" x14ac:dyDescent="0.3">
      <c r="C2215" s="14"/>
    </row>
    <row r="2216" spans="3:3" x14ac:dyDescent="0.3">
      <c r="C2216" s="14"/>
    </row>
    <row r="2217" spans="3:3" x14ac:dyDescent="0.3">
      <c r="C2217" s="14"/>
    </row>
    <row r="2218" spans="3:3" x14ac:dyDescent="0.3">
      <c r="C2218" s="14"/>
    </row>
    <row r="2219" spans="3:3" x14ac:dyDescent="0.3">
      <c r="C2219" s="14"/>
    </row>
    <row r="2220" spans="3:3" x14ac:dyDescent="0.3">
      <c r="C2220" s="14"/>
    </row>
    <row r="2221" spans="3:3" x14ac:dyDescent="0.3">
      <c r="C2221" s="14"/>
    </row>
    <row r="2222" spans="3:3" x14ac:dyDescent="0.3">
      <c r="C2222" s="14"/>
    </row>
    <row r="2223" spans="3:3" x14ac:dyDescent="0.3">
      <c r="C2223" s="14"/>
    </row>
    <row r="2224" spans="3:3" x14ac:dyDescent="0.3">
      <c r="C2224" s="14"/>
    </row>
    <row r="2225" spans="3:3" x14ac:dyDescent="0.3">
      <c r="C2225" s="14"/>
    </row>
    <row r="2226" spans="3:3" x14ac:dyDescent="0.3">
      <c r="C2226" s="14"/>
    </row>
    <row r="2227" spans="3:3" x14ac:dyDescent="0.3">
      <c r="C2227" s="14"/>
    </row>
    <row r="2228" spans="3:3" x14ac:dyDescent="0.3">
      <c r="C2228" s="14"/>
    </row>
    <row r="2229" spans="3:3" x14ac:dyDescent="0.3">
      <c r="C2229" s="14"/>
    </row>
    <row r="2230" spans="3:3" x14ac:dyDescent="0.3">
      <c r="C2230" s="14"/>
    </row>
    <row r="2231" spans="3:3" x14ac:dyDescent="0.3">
      <c r="C2231" s="14"/>
    </row>
    <row r="2232" spans="3:3" x14ac:dyDescent="0.3">
      <c r="C2232" s="14"/>
    </row>
    <row r="2233" spans="3:3" x14ac:dyDescent="0.3">
      <c r="C2233" s="14"/>
    </row>
    <row r="2234" spans="3:3" x14ac:dyDescent="0.3">
      <c r="C2234" s="14"/>
    </row>
    <row r="2235" spans="3:3" x14ac:dyDescent="0.3">
      <c r="C2235" s="14"/>
    </row>
    <row r="2236" spans="3:3" x14ac:dyDescent="0.3">
      <c r="C2236" s="14"/>
    </row>
    <row r="2237" spans="3:3" x14ac:dyDescent="0.3">
      <c r="C2237" s="14"/>
    </row>
    <row r="2238" spans="3:3" x14ac:dyDescent="0.3">
      <c r="C2238" s="14"/>
    </row>
    <row r="2239" spans="3:3" x14ac:dyDescent="0.3">
      <c r="C2239" s="14"/>
    </row>
    <row r="2240" spans="3:3" x14ac:dyDescent="0.3">
      <c r="C2240" s="14"/>
    </row>
    <row r="2241" spans="3:3" x14ac:dyDescent="0.3">
      <c r="C2241" s="14"/>
    </row>
    <row r="2242" spans="3:3" x14ac:dyDescent="0.3">
      <c r="C2242" s="14"/>
    </row>
    <row r="2243" spans="3:3" x14ac:dyDescent="0.3">
      <c r="C2243" s="14"/>
    </row>
    <row r="2244" spans="3:3" x14ac:dyDescent="0.3">
      <c r="C2244" s="14"/>
    </row>
    <row r="2245" spans="3:3" x14ac:dyDescent="0.3">
      <c r="C2245" s="14"/>
    </row>
    <row r="2246" spans="3:3" x14ac:dyDescent="0.3">
      <c r="C2246" s="14"/>
    </row>
    <row r="2247" spans="3:3" x14ac:dyDescent="0.3">
      <c r="C2247" s="14"/>
    </row>
    <row r="2248" spans="3:3" x14ac:dyDescent="0.3">
      <c r="C2248" s="14"/>
    </row>
    <row r="2249" spans="3:3" x14ac:dyDescent="0.3">
      <c r="C2249" s="14"/>
    </row>
    <row r="2250" spans="3:3" x14ac:dyDescent="0.3">
      <c r="C2250" s="14"/>
    </row>
    <row r="2251" spans="3:3" x14ac:dyDescent="0.3">
      <c r="C2251" s="14"/>
    </row>
    <row r="2252" spans="3:3" x14ac:dyDescent="0.3">
      <c r="C2252" s="14"/>
    </row>
    <row r="2253" spans="3:3" x14ac:dyDescent="0.3">
      <c r="C2253" s="14"/>
    </row>
    <row r="2254" spans="3:3" x14ac:dyDescent="0.3">
      <c r="C2254" s="14"/>
    </row>
    <row r="2255" spans="3:3" x14ac:dyDescent="0.3">
      <c r="C2255" s="14"/>
    </row>
    <row r="2256" spans="3:3" x14ac:dyDescent="0.3">
      <c r="C2256" s="14"/>
    </row>
    <row r="2257" spans="3:3" x14ac:dyDescent="0.3">
      <c r="C2257" s="14"/>
    </row>
    <row r="2258" spans="3:3" x14ac:dyDescent="0.3">
      <c r="C2258" s="14"/>
    </row>
    <row r="2259" spans="3:3" x14ac:dyDescent="0.3">
      <c r="C2259" s="14"/>
    </row>
    <row r="2260" spans="3:3" x14ac:dyDescent="0.3">
      <c r="C2260" s="14"/>
    </row>
    <row r="2261" spans="3:3" x14ac:dyDescent="0.3">
      <c r="C2261" s="14"/>
    </row>
    <row r="2262" spans="3:3" x14ac:dyDescent="0.3">
      <c r="C2262" s="14"/>
    </row>
    <row r="2263" spans="3:3" x14ac:dyDescent="0.3">
      <c r="C2263" s="14"/>
    </row>
    <row r="2264" spans="3:3" x14ac:dyDescent="0.3">
      <c r="C2264" s="14"/>
    </row>
    <row r="2265" spans="3:3" x14ac:dyDescent="0.3">
      <c r="C2265" s="14"/>
    </row>
    <row r="2266" spans="3:3" x14ac:dyDescent="0.3">
      <c r="C2266" s="14"/>
    </row>
    <row r="2267" spans="3:3" x14ac:dyDescent="0.3">
      <c r="C2267" s="14"/>
    </row>
    <row r="2268" spans="3:3" x14ac:dyDescent="0.3">
      <c r="C2268" s="14"/>
    </row>
    <row r="2269" spans="3:3" x14ac:dyDescent="0.3">
      <c r="C2269" s="14"/>
    </row>
    <row r="2270" spans="3:3" x14ac:dyDescent="0.3">
      <c r="C2270" s="14"/>
    </row>
    <row r="2271" spans="3:3" x14ac:dyDescent="0.3">
      <c r="C2271" s="14"/>
    </row>
    <row r="2272" spans="3:3" x14ac:dyDescent="0.3">
      <c r="C2272" s="14"/>
    </row>
    <row r="2273" spans="3:3" x14ac:dyDescent="0.3">
      <c r="C2273" s="14"/>
    </row>
    <row r="2274" spans="3:3" x14ac:dyDescent="0.3">
      <c r="C2274" s="14"/>
    </row>
    <row r="2275" spans="3:3" x14ac:dyDescent="0.3">
      <c r="C2275" s="14"/>
    </row>
    <row r="2276" spans="3:3" x14ac:dyDescent="0.3">
      <c r="C2276" s="14"/>
    </row>
    <row r="2277" spans="3:3" x14ac:dyDescent="0.3">
      <c r="C2277" s="14"/>
    </row>
    <row r="2278" spans="3:3" x14ac:dyDescent="0.3">
      <c r="C2278" s="14"/>
    </row>
    <row r="2279" spans="3:3" x14ac:dyDescent="0.3">
      <c r="C2279" s="14"/>
    </row>
    <row r="2280" spans="3:3" x14ac:dyDescent="0.3">
      <c r="C2280" s="14"/>
    </row>
    <row r="2281" spans="3:3" x14ac:dyDescent="0.3">
      <c r="C2281" s="14"/>
    </row>
    <row r="2282" spans="3:3" x14ac:dyDescent="0.3">
      <c r="C2282" s="14"/>
    </row>
    <row r="2283" spans="3:3" x14ac:dyDescent="0.3">
      <c r="C2283" s="14"/>
    </row>
    <row r="2284" spans="3:3" x14ac:dyDescent="0.3">
      <c r="C2284" s="14"/>
    </row>
    <row r="2285" spans="3:3" x14ac:dyDescent="0.3">
      <c r="C2285" s="14"/>
    </row>
    <row r="2286" spans="3:3" x14ac:dyDescent="0.3">
      <c r="C2286" s="14"/>
    </row>
    <row r="2287" spans="3:3" x14ac:dyDescent="0.3">
      <c r="C2287" s="14"/>
    </row>
    <row r="2288" spans="3:3" x14ac:dyDescent="0.3">
      <c r="C2288" s="14"/>
    </row>
    <row r="2289" spans="3:3" x14ac:dyDescent="0.3">
      <c r="C2289" s="14"/>
    </row>
    <row r="2290" spans="3:3" x14ac:dyDescent="0.3">
      <c r="C2290" s="14"/>
    </row>
    <row r="2291" spans="3:3" x14ac:dyDescent="0.3">
      <c r="C2291" s="14"/>
    </row>
    <row r="2292" spans="3:3" x14ac:dyDescent="0.3">
      <c r="C2292" s="14"/>
    </row>
    <row r="2293" spans="3:3" x14ac:dyDescent="0.3">
      <c r="C2293" s="14"/>
    </row>
    <row r="2294" spans="3:3" x14ac:dyDescent="0.3">
      <c r="C2294" s="14"/>
    </row>
    <row r="2295" spans="3:3" x14ac:dyDescent="0.3">
      <c r="C2295" s="14"/>
    </row>
    <row r="2296" spans="3:3" x14ac:dyDescent="0.3">
      <c r="C2296" s="14"/>
    </row>
    <row r="2297" spans="3:3" x14ac:dyDescent="0.3">
      <c r="C2297" s="14"/>
    </row>
    <row r="2298" spans="3:3" x14ac:dyDescent="0.3">
      <c r="C2298" s="14"/>
    </row>
    <row r="2299" spans="3:3" x14ac:dyDescent="0.3">
      <c r="C2299" s="14"/>
    </row>
    <row r="2300" spans="3:3" x14ac:dyDescent="0.3">
      <c r="C2300" s="14"/>
    </row>
    <row r="2301" spans="3:3" x14ac:dyDescent="0.3">
      <c r="C2301" s="14"/>
    </row>
    <row r="2302" spans="3:3" x14ac:dyDescent="0.3">
      <c r="C2302" s="14"/>
    </row>
    <row r="2303" spans="3:3" x14ac:dyDescent="0.3">
      <c r="C2303" s="14"/>
    </row>
    <row r="2304" spans="3:3" x14ac:dyDescent="0.3">
      <c r="C2304" s="14"/>
    </row>
    <row r="2305" spans="3:3" x14ac:dyDescent="0.3">
      <c r="C2305" s="14"/>
    </row>
    <row r="2306" spans="3:3" x14ac:dyDescent="0.3">
      <c r="C2306" s="14"/>
    </row>
    <row r="2307" spans="3:3" x14ac:dyDescent="0.3">
      <c r="C2307" s="14"/>
    </row>
    <row r="2308" spans="3:3" x14ac:dyDescent="0.3">
      <c r="C2308" s="14"/>
    </row>
    <row r="2309" spans="3:3" x14ac:dyDescent="0.3">
      <c r="C2309" s="14"/>
    </row>
    <row r="2310" spans="3:3" x14ac:dyDescent="0.3">
      <c r="C2310" s="14"/>
    </row>
    <row r="2311" spans="3:3" x14ac:dyDescent="0.3">
      <c r="C2311" s="14"/>
    </row>
    <row r="2312" spans="3:3" x14ac:dyDescent="0.3">
      <c r="C2312" s="14"/>
    </row>
    <row r="2313" spans="3:3" x14ac:dyDescent="0.3">
      <c r="C2313" s="14"/>
    </row>
    <row r="2314" spans="3:3" x14ac:dyDescent="0.3">
      <c r="C2314" s="14"/>
    </row>
    <row r="2315" spans="3:3" x14ac:dyDescent="0.3">
      <c r="C2315" s="14"/>
    </row>
    <row r="2316" spans="3:3" x14ac:dyDescent="0.3">
      <c r="C2316" s="14"/>
    </row>
    <row r="2317" spans="3:3" x14ac:dyDescent="0.3">
      <c r="C2317" s="14"/>
    </row>
    <row r="2318" spans="3:3" x14ac:dyDescent="0.3">
      <c r="C2318" s="14"/>
    </row>
    <row r="2319" spans="3:3" x14ac:dyDescent="0.3">
      <c r="C2319" s="14"/>
    </row>
    <row r="2320" spans="3:3" x14ac:dyDescent="0.3">
      <c r="C2320" s="14"/>
    </row>
    <row r="2321" spans="3:3" x14ac:dyDescent="0.3">
      <c r="C2321" s="14"/>
    </row>
    <row r="2322" spans="3:3" x14ac:dyDescent="0.3">
      <c r="C2322" s="14"/>
    </row>
    <row r="2323" spans="3:3" x14ac:dyDescent="0.3">
      <c r="C2323" s="14"/>
    </row>
    <row r="2324" spans="3:3" x14ac:dyDescent="0.3">
      <c r="C2324" s="14"/>
    </row>
    <row r="2325" spans="3:3" x14ac:dyDescent="0.3">
      <c r="C2325" s="14"/>
    </row>
    <row r="2326" spans="3:3" x14ac:dyDescent="0.3">
      <c r="C2326" s="14"/>
    </row>
    <row r="2327" spans="3:3" x14ac:dyDescent="0.3">
      <c r="C2327" s="14"/>
    </row>
    <row r="2328" spans="3:3" x14ac:dyDescent="0.3">
      <c r="C2328" s="14"/>
    </row>
    <row r="2329" spans="3:3" x14ac:dyDescent="0.3">
      <c r="C2329" s="14"/>
    </row>
    <row r="2330" spans="3:3" x14ac:dyDescent="0.3">
      <c r="C2330" s="14"/>
    </row>
    <row r="2331" spans="3:3" x14ac:dyDescent="0.3">
      <c r="C2331" s="14"/>
    </row>
    <row r="2332" spans="3:3" x14ac:dyDescent="0.3">
      <c r="C2332" s="14"/>
    </row>
    <row r="2333" spans="3:3" x14ac:dyDescent="0.3">
      <c r="C2333" s="14"/>
    </row>
    <row r="2334" spans="3:3" x14ac:dyDescent="0.3">
      <c r="C2334" s="14"/>
    </row>
    <row r="2335" spans="3:3" x14ac:dyDescent="0.3">
      <c r="C2335" s="14"/>
    </row>
    <row r="2336" spans="3:3" x14ac:dyDescent="0.3">
      <c r="C2336" s="14"/>
    </row>
    <row r="2337" spans="3:3" x14ac:dyDescent="0.3">
      <c r="C2337" s="14"/>
    </row>
    <row r="2338" spans="3:3" x14ac:dyDescent="0.3">
      <c r="C2338" s="14"/>
    </row>
    <row r="2339" spans="3:3" x14ac:dyDescent="0.3">
      <c r="C2339" s="14"/>
    </row>
    <row r="2340" spans="3:3" x14ac:dyDescent="0.3">
      <c r="C2340" s="14"/>
    </row>
    <row r="2341" spans="3:3" x14ac:dyDescent="0.3">
      <c r="C2341" s="14"/>
    </row>
    <row r="2342" spans="3:3" x14ac:dyDescent="0.3">
      <c r="C2342" s="14"/>
    </row>
    <row r="2343" spans="3:3" x14ac:dyDescent="0.3">
      <c r="C2343" s="14"/>
    </row>
    <row r="2344" spans="3:3" x14ac:dyDescent="0.3">
      <c r="C2344" s="14"/>
    </row>
    <row r="2345" spans="3:3" x14ac:dyDescent="0.3">
      <c r="C2345" s="14"/>
    </row>
    <row r="2346" spans="3:3" x14ac:dyDescent="0.3">
      <c r="C2346" s="14"/>
    </row>
    <row r="2347" spans="3:3" x14ac:dyDescent="0.3">
      <c r="C2347" s="14"/>
    </row>
    <row r="2348" spans="3:3" x14ac:dyDescent="0.3">
      <c r="C2348" s="14"/>
    </row>
    <row r="2349" spans="3:3" x14ac:dyDescent="0.3">
      <c r="C2349" s="14"/>
    </row>
    <row r="2350" spans="3:3" x14ac:dyDescent="0.3">
      <c r="C2350" s="14"/>
    </row>
    <row r="2351" spans="3:3" x14ac:dyDescent="0.3">
      <c r="C2351" s="14"/>
    </row>
    <row r="2352" spans="3:3" x14ac:dyDescent="0.3">
      <c r="C2352" s="14"/>
    </row>
    <row r="2353" spans="3:3" x14ac:dyDescent="0.3">
      <c r="C2353" s="14"/>
    </row>
    <row r="2354" spans="3:3" x14ac:dyDescent="0.3">
      <c r="C2354" s="14"/>
    </row>
    <row r="2355" spans="3:3" x14ac:dyDescent="0.3">
      <c r="C2355" s="14"/>
    </row>
    <row r="2356" spans="3:3" x14ac:dyDescent="0.3">
      <c r="C2356" s="14"/>
    </row>
    <row r="2357" spans="3:3" x14ac:dyDescent="0.3">
      <c r="C2357" s="14"/>
    </row>
    <row r="2358" spans="3:3" x14ac:dyDescent="0.3">
      <c r="C2358" s="14"/>
    </row>
    <row r="2359" spans="3:3" x14ac:dyDescent="0.3">
      <c r="C2359" s="14"/>
    </row>
    <row r="2360" spans="3:3" x14ac:dyDescent="0.3">
      <c r="C2360" s="14"/>
    </row>
    <row r="2361" spans="3:3" x14ac:dyDescent="0.3">
      <c r="C2361" s="14"/>
    </row>
    <row r="2362" spans="3:3" x14ac:dyDescent="0.3">
      <c r="C2362" s="14"/>
    </row>
    <row r="2363" spans="3:3" x14ac:dyDescent="0.3">
      <c r="C2363" s="14"/>
    </row>
    <row r="2364" spans="3:3" x14ac:dyDescent="0.3">
      <c r="C2364" s="14"/>
    </row>
    <row r="2365" spans="3:3" x14ac:dyDescent="0.3">
      <c r="C2365" s="14"/>
    </row>
    <row r="2366" spans="3:3" x14ac:dyDescent="0.3">
      <c r="C2366" s="14"/>
    </row>
    <row r="2367" spans="3:3" x14ac:dyDescent="0.3">
      <c r="C2367" s="14"/>
    </row>
    <row r="2368" spans="3:3" x14ac:dyDescent="0.3">
      <c r="C2368" s="14"/>
    </row>
    <row r="2369" spans="3:3" x14ac:dyDescent="0.3">
      <c r="C2369" s="14"/>
    </row>
    <row r="2370" spans="3:3" x14ac:dyDescent="0.3">
      <c r="C2370" s="14"/>
    </row>
    <row r="2371" spans="3:3" x14ac:dyDescent="0.3">
      <c r="C2371" s="14"/>
    </row>
    <row r="2372" spans="3:3" x14ac:dyDescent="0.3">
      <c r="C2372" s="14"/>
    </row>
    <row r="2373" spans="3:3" x14ac:dyDescent="0.3">
      <c r="C2373" s="14"/>
    </row>
    <row r="2374" spans="3:3" x14ac:dyDescent="0.3">
      <c r="C2374" s="14"/>
    </row>
    <row r="2375" spans="3:3" x14ac:dyDescent="0.3">
      <c r="C2375" s="14"/>
    </row>
    <row r="2376" spans="3:3" x14ac:dyDescent="0.3">
      <c r="C2376" s="14"/>
    </row>
    <row r="2377" spans="3:3" x14ac:dyDescent="0.3">
      <c r="C2377" s="14"/>
    </row>
    <row r="2378" spans="3:3" x14ac:dyDescent="0.3">
      <c r="C2378" s="14"/>
    </row>
    <row r="2379" spans="3:3" x14ac:dyDescent="0.3">
      <c r="C2379" s="14"/>
    </row>
    <row r="2380" spans="3:3" x14ac:dyDescent="0.3">
      <c r="C2380" s="14"/>
    </row>
    <row r="2381" spans="3:3" x14ac:dyDescent="0.3">
      <c r="C2381" s="14"/>
    </row>
    <row r="2382" spans="3:3" x14ac:dyDescent="0.3">
      <c r="C2382" s="14"/>
    </row>
    <row r="2383" spans="3:3" x14ac:dyDescent="0.3">
      <c r="C2383" s="14"/>
    </row>
    <row r="2384" spans="3:3" x14ac:dyDescent="0.3">
      <c r="C2384" s="14"/>
    </row>
    <row r="2385" spans="3:3" x14ac:dyDescent="0.3">
      <c r="C2385" s="14"/>
    </row>
    <row r="2386" spans="3:3" x14ac:dyDescent="0.3">
      <c r="C2386" s="14"/>
    </row>
    <row r="2387" spans="3:3" x14ac:dyDescent="0.3">
      <c r="C2387" s="14"/>
    </row>
    <row r="2388" spans="3:3" x14ac:dyDescent="0.3">
      <c r="C2388" s="14"/>
    </row>
    <row r="2389" spans="3:3" x14ac:dyDescent="0.3">
      <c r="C2389" s="14"/>
    </row>
    <row r="2390" spans="3:3" x14ac:dyDescent="0.3">
      <c r="C2390" s="14"/>
    </row>
    <row r="2391" spans="3:3" x14ac:dyDescent="0.3">
      <c r="C2391" s="14"/>
    </row>
    <row r="2392" spans="3:3" x14ac:dyDescent="0.3">
      <c r="C2392" s="14"/>
    </row>
    <row r="2393" spans="3:3" x14ac:dyDescent="0.3">
      <c r="C2393" s="14"/>
    </row>
    <row r="2394" spans="3:3" x14ac:dyDescent="0.3">
      <c r="C2394" s="14"/>
    </row>
    <row r="2395" spans="3:3" x14ac:dyDescent="0.3">
      <c r="C2395" s="14"/>
    </row>
    <row r="2396" spans="3:3" x14ac:dyDescent="0.3">
      <c r="C2396" s="14"/>
    </row>
    <row r="2397" spans="3:3" x14ac:dyDescent="0.3">
      <c r="C2397" s="14"/>
    </row>
    <row r="2398" spans="3:3" x14ac:dyDescent="0.3">
      <c r="C2398" s="14"/>
    </row>
    <row r="2399" spans="3:3" x14ac:dyDescent="0.3">
      <c r="C2399" s="14"/>
    </row>
    <row r="2400" spans="3:3" x14ac:dyDescent="0.3">
      <c r="C2400" s="14"/>
    </row>
    <row r="2401" spans="3:3" x14ac:dyDescent="0.3">
      <c r="C2401" s="14"/>
    </row>
    <row r="2402" spans="3:3" x14ac:dyDescent="0.3">
      <c r="C2402" s="14"/>
    </row>
    <row r="2403" spans="3:3" x14ac:dyDescent="0.3">
      <c r="C2403" s="14"/>
    </row>
    <row r="2404" spans="3:3" x14ac:dyDescent="0.3">
      <c r="C2404" s="14"/>
    </row>
    <row r="2405" spans="3:3" x14ac:dyDescent="0.3">
      <c r="C2405" s="14"/>
    </row>
    <row r="2406" spans="3:3" x14ac:dyDescent="0.3">
      <c r="C2406" s="14"/>
    </row>
    <row r="2407" spans="3:3" x14ac:dyDescent="0.3">
      <c r="C2407" s="14"/>
    </row>
    <row r="2408" spans="3:3" x14ac:dyDescent="0.3">
      <c r="C2408" s="14"/>
    </row>
    <row r="2409" spans="3:3" x14ac:dyDescent="0.3">
      <c r="C2409" s="14"/>
    </row>
    <row r="2410" spans="3:3" x14ac:dyDescent="0.3">
      <c r="C2410" s="14"/>
    </row>
    <row r="2411" spans="3:3" x14ac:dyDescent="0.3">
      <c r="C2411" s="14"/>
    </row>
    <row r="2412" spans="3:3" x14ac:dyDescent="0.3">
      <c r="C2412" s="14"/>
    </row>
    <row r="2413" spans="3:3" x14ac:dyDescent="0.3">
      <c r="C2413" s="14"/>
    </row>
    <row r="2414" spans="3:3" x14ac:dyDescent="0.3">
      <c r="C2414" s="14"/>
    </row>
    <row r="2415" spans="3:3" x14ac:dyDescent="0.3">
      <c r="C2415" s="14"/>
    </row>
    <row r="2416" spans="3:3" x14ac:dyDescent="0.3">
      <c r="C2416" s="14"/>
    </row>
    <row r="2417" spans="3:3" x14ac:dyDescent="0.3">
      <c r="C2417" s="14"/>
    </row>
    <row r="2418" spans="3:3" x14ac:dyDescent="0.3">
      <c r="C2418" s="14"/>
    </row>
    <row r="2419" spans="3:3" x14ac:dyDescent="0.3">
      <c r="C2419" s="14"/>
    </row>
    <row r="2420" spans="3:3" x14ac:dyDescent="0.3">
      <c r="C2420" s="14"/>
    </row>
    <row r="2421" spans="3:3" x14ac:dyDescent="0.3">
      <c r="C2421" s="14"/>
    </row>
    <row r="2422" spans="3:3" x14ac:dyDescent="0.3">
      <c r="C2422" s="14"/>
    </row>
    <row r="2423" spans="3:3" x14ac:dyDescent="0.3">
      <c r="C2423" s="14"/>
    </row>
    <row r="2424" spans="3:3" x14ac:dyDescent="0.3">
      <c r="C2424" s="14"/>
    </row>
    <row r="2425" spans="3:3" x14ac:dyDescent="0.3">
      <c r="C2425" s="14"/>
    </row>
    <row r="2426" spans="3:3" x14ac:dyDescent="0.3">
      <c r="C2426" s="14"/>
    </row>
    <row r="2427" spans="3:3" x14ac:dyDescent="0.3">
      <c r="C2427" s="14"/>
    </row>
    <row r="2428" spans="3:3" x14ac:dyDescent="0.3">
      <c r="C2428" s="14"/>
    </row>
    <row r="2429" spans="3:3" x14ac:dyDescent="0.3">
      <c r="C2429" s="14"/>
    </row>
    <row r="2430" spans="3:3" x14ac:dyDescent="0.3">
      <c r="C2430" s="14"/>
    </row>
    <row r="2431" spans="3:3" x14ac:dyDescent="0.3">
      <c r="C2431" s="14"/>
    </row>
    <row r="2432" spans="3:3" x14ac:dyDescent="0.3">
      <c r="C2432" s="14"/>
    </row>
    <row r="2433" spans="3:3" x14ac:dyDescent="0.3">
      <c r="C2433" s="14"/>
    </row>
    <row r="2434" spans="3:3" x14ac:dyDescent="0.3">
      <c r="C2434" s="14"/>
    </row>
    <row r="2435" spans="3:3" x14ac:dyDescent="0.3">
      <c r="C2435" s="14"/>
    </row>
    <row r="2436" spans="3:3" x14ac:dyDescent="0.3">
      <c r="C2436" s="14"/>
    </row>
    <row r="2437" spans="3:3" x14ac:dyDescent="0.3">
      <c r="C2437" s="14"/>
    </row>
    <row r="2438" spans="3:3" x14ac:dyDescent="0.3">
      <c r="C2438" s="14"/>
    </row>
    <row r="2439" spans="3:3" x14ac:dyDescent="0.3">
      <c r="C2439" s="14"/>
    </row>
    <row r="2440" spans="3:3" x14ac:dyDescent="0.3">
      <c r="C2440" s="14"/>
    </row>
    <row r="2441" spans="3:3" x14ac:dyDescent="0.3">
      <c r="C2441" s="14"/>
    </row>
    <row r="2442" spans="3:3" x14ac:dyDescent="0.3">
      <c r="C2442" s="14"/>
    </row>
    <row r="2443" spans="3:3" x14ac:dyDescent="0.3">
      <c r="C2443" s="14"/>
    </row>
    <row r="2444" spans="3:3" x14ac:dyDescent="0.3">
      <c r="C2444" s="14"/>
    </row>
    <row r="2445" spans="3:3" x14ac:dyDescent="0.3">
      <c r="C2445" s="14"/>
    </row>
    <row r="2446" spans="3:3" x14ac:dyDescent="0.3">
      <c r="C2446" s="14"/>
    </row>
    <row r="2447" spans="3:3" x14ac:dyDescent="0.3">
      <c r="C2447" s="14"/>
    </row>
    <row r="2448" spans="3:3" x14ac:dyDescent="0.3">
      <c r="C2448" s="14"/>
    </row>
    <row r="2449" spans="3:3" x14ac:dyDescent="0.3">
      <c r="C2449" s="14"/>
    </row>
    <row r="2450" spans="3:3" x14ac:dyDescent="0.3">
      <c r="C2450" s="14"/>
    </row>
    <row r="2451" spans="3:3" x14ac:dyDescent="0.3">
      <c r="C2451" s="14"/>
    </row>
    <row r="2452" spans="3:3" x14ac:dyDescent="0.3">
      <c r="C2452" s="14"/>
    </row>
    <row r="2453" spans="3:3" x14ac:dyDescent="0.3">
      <c r="C2453" s="14"/>
    </row>
    <row r="2454" spans="3:3" x14ac:dyDescent="0.3">
      <c r="C2454" s="14"/>
    </row>
    <row r="2455" spans="3:3" x14ac:dyDescent="0.3">
      <c r="C2455" s="14"/>
    </row>
    <row r="2456" spans="3:3" x14ac:dyDescent="0.3">
      <c r="C2456" s="14"/>
    </row>
    <row r="2457" spans="3:3" x14ac:dyDescent="0.3">
      <c r="C2457" s="14"/>
    </row>
    <row r="2458" spans="3:3" x14ac:dyDescent="0.3">
      <c r="C2458" s="14"/>
    </row>
    <row r="2459" spans="3:3" x14ac:dyDescent="0.3">
      <c r="C2459" s="14"/>
    </row>
    <row r="2460" spans="3:3" x14ac:dyDescent="0.3">
      <c r="C2460" s="14"/>
    </row>
    <row r="2461" spans="3:3" x14ac:dyDescent="0.3">
      <c r="C2461" s="14"/>
    </row>
    <row r="2462" spans="3:3" x14ac:dyDescent="0.3">
      <c r="C2462" s="14"/>
    </row>
    <row r="2463" spans="3:3" x14ac:dyDescent="0.3">
      <c r="C2463" s="14"/>
    </row>
    <row r="2464" spans="3:3" x14ac:dyDescent="0.3">
      <c r="C2464" s="14"/>
    </row>
    <row r="2465" spans="3:3" x14ac:dyDescent="0.3">
      <c r="C2465" s="14"/>
    </row>
    <row r="2466" spans="3:3" x14ac:dyDescent="0.3">
      <c r="C2466" s="14"/>
    </row>
    <row r="2467" spans="3:3" x14ac:dyDescent="0.3">
      <c r="C2467" s="14"/>
    </row>
    <row r="2468" spans="3:3" x14ac:dyDescent="0.3">
      <c r="C2468" s="14"/>
    </row>
    <row r="2469" spans="3:3" x14ac:dyDescent="0.3">
      <c r="C2469" s="14"/>
    </row>
    <row r="2470" spans="3:3" x14ac:dyDescent="0.3">
      <c r="C2470" s="14"/>
    </row>
    <row r="2471" spans="3:3" x14ac:dyDescent="0.3">
      <c r="C2471" s="14"/>
    </row>
    <row r="2472" spans="3:3" x14ac:dyDescent="0.3">
      <c r="C2472" s="14"/>
    </row>
    <row r="2473" spans="3:3" x14ac:dyDescent="0.3">
      <c r="C2473" s="14"/>
    </row>
    <row r="2474" spans="3:3" x14ac:dyDescent="0.3">
      <c r="C2474" s="14"/>
    </row>
    <row r="2475" spans="3:3" x14ac:dyDescent="0.3">
      <c r="C2475" s="14"/>
    </row>
    <row r="2476" spans="3:3" x14ac:dyDescent="0.3">
      <c r="C2476" s="14"/>
    </row>
    <row r="2477" spans="3:3" x14ac:dyDescent="0.3">
      <c r="C2477" s="14"/>
    </row>
    <row r="2478" spans="3:3" x14ac:dyDescent="0.3">
      <c r="C2478" s="14"/>
    </row>
    <row r="2479" spans="3:3" x14ac:dyDescent="0.3">
      <c r="C2479" s="14"/>
    </row>
    <row r="2480" spans="3:3" x14ac:dyDescent="0.3">
      <c r="C2480" s="14"/>
    </row>
    <row r="2481" spans="3:3" x14ac:dyDescent="0.3">
      <c r="C2481" s="14"/>
    </row>
    <row r="2482" spans="3:3" x14ac:dyDescent="0.3">
      <c r="C2482" s="14"/>
    </row>
    <row r="2483" spans="3:3" x14ac:dyDescent="0.3">
      <c r="C2483" s="14"/>
    </row>
    <row r="2484" spans="3:3" x14ac:dyDescent="0.3">
      <c r="C2484" s="14"/>
    </row>
    <row r="2485" spans="3:3" x14ac:dyDescent="0.3">
      <c r="C2485" s="14"/>
    </row>
    <row r="2486" spans="3:3" x14ac:dyDescent="0.3">
      <c r="C2486" s="14"/>
    </row>
    <row r="2487" spans="3:3" x14ac:dyDescent="0.3">
      <c r="C2487" s="14"/>
    </row>
    <row r="2488" spans="3:3" x14ac:dyDescent="0.3">
      <c r="C2488" s="14"/>
    </row>
    <row r="2489" spans="3:3" x14ac:dyDescent="0.3">
      <c r="C2489" s="14"/>
    </row>
    <row r="2490" spans="3:3" x14ac:dyDescent="0.3">
      <c r="C2490" s="14"/>
    </row>
    <row r="2491" spans="3:3" x14ac:dyDescent="0.3">
      <c r="C2491" s="14"/>
    </row>
    <row r="2492" spans="3:3" x14ac:dyDescent="0.3">
      <c r="C2492" s="14"/>
    </row>
    <row r="2493" spans="3:3" x14ac:dyDescent="0.3">
      <c r="C2493" s="14"/>
    </row>
    <row r="2494" spans="3:3" x14ac:dyDescent="0.3">
      <c r="C2494" s="14"/>
    </row>
    <row r="2495" spans="3:3" x14ac:dyDescent="0.3">
      <c r="C2495" s="14"/>
    </row>
    <row r="2496" spans="3:3" x14ac:dyDescent="0.3">
      <c r="C2496" s="14"/>
    </row>
    <row r="2497" spans="3:3" x14ac:dyDescent="0.3">
      <c r="C2497" s="14"/>
    </row>
    <row r="2498" spans="3:3" x14ac:dyDescent="0.3">
      <c r="C2498" s="14"/>
    </row>
    <row r="2499" spans="3:3" x14ac:dyDescent="0.3">
      <c r="C2499" s="14"/>
    </row>
    <row r="2500" spans="3:3" x14ac:dyDescent="0.3">
      <c r="C2500" s="14"/>
    </row>
    <row r="2501" spans="3:3" x14ac:dyDescent="0.3">
      <c r="C2501" s="14"/>
    </row>
    <row r="2502" spans="3:3" x14ac:dyDescent="0.3">
      <c r="C2502" s="14"/>
    </row>
    <row r="2503" spans="3:3" x14ac:dyDescent="0.3">
      <c r="C2503" s="14"/>
    </row>
    <row r="2504" spans="3:3" x14ac:dyDescent="0.3">
      <c r="C2504" s="14"/>
    </row>
    <row r="2505" spans="3:3" x14ac:dyDescent="0.3">
      <c r="C2505" s="14"/>
    </row>
    <row r="2506" spans="3:3" x14ac:dyDescent="0.3">
      <c r="C2506" s="14"/>
    </row>
    <row r="2507" spans="3:3" x14ac:dyDescent="0.3">
      <c r="C2507" s="14"/>
    </row>
    <row r="2508" spans="3:3" x14ac:dyDescent="0.3">
      <c r="C2508" s="14"/>
    </row>
    <row r="2509" spans="3:3" x14ac:dyDescent="0.3">
      <c r="C2509" s="14"/>
    </row>
    <row r="2510" spans="3:3" x14ac:dyDescent="0.3">
      <c r="C2510" s="14"/>
    </row>
    <row r="2511" spans="3:3" x14ac:dyDescent="0.3">
      <c r="C2511" s="14"/>
    </row>
    <row r="2512" spans="3:3" x14ac:dyDescent="0.3">
      <c r="C2512" s="14"/>
    </row>
    <row r="2513" spans="3:3" x14ac:dyDescent="0.3">
      <c r="C2513" s="14"/>
    </row>
    <row r="2514" spans="3:3" x14ac:dyDescent="0.3">
      <c r="C2514" s="14"/>
    </row>
    <row r="2515" spans="3:3" x14ac:dyDescent="0.3">
      <c r="C2515" s="14"/>
    </row>
    <row r="2516" spans="3:3" x14ac:dyDescent="0.3">
      <c r="C2516" s="14"/>
    </row>
    <row r="2517" spans="3:3" x14ac:dyDescent="0.3">
      <c r="C2517" s="14"/>
    </row>
    <row r="2518" spans="3:3" x14ac:dyDescent="0.3">
      <c r="C2518" s="14"/>
    </row>
    <row r="2519" spans="3:3" x14ac:dyDescent="0.3">
      <c r="C2519" s="14"/>
    </row>
    <row r="2520" spans="3:3" x14ac:dyDescent="0.3">
      <c r="C2520" s="14"/>
    </row>
    <row r="2521" spans="3:3" x14ac:dyDescent="0.3">
      <c r="C2521" s="14"/>
    </row>
    <row r="2522" spans="3:3" x14ac:dyDescent="0.3">
      <c r="C2522" s="14"/>
    </row>
    <row r="2523" spans="3:3" x14ac:dyDescent="0.3">
      <c r="C2523" s="14"/>
    </row>
    <row r="2524" spans="3:3" x14ac:dyDescent="0.3">
      <c r="C2524" s="14"/>
    </row>
    <row r="2525" spans="3:3" x14ac:dyDescent="0.3">
      <c r="C2525" s="14"/>
    </row>
    <row r="2526" spans="3:3" x14ac:dyDescent="0.3">
      <c r="C2526" s="14"/>
    </row>
    <row r="2527" spans="3:3" x14ac:dyDescent="0.3">
      <c r="C2527" s="14"/>
    </row>
    <row r="2528" spans="3:3" x14ac:dyDescent="0.3">
      <c r="C2528" s="14"/>
    </row>
    <row r="2529" spans="3:3" x14ac:dyDescent="0.3">
      <c r="C2529" s="14"/>
    </row>
    <row r="2530" spans="3:3" x14ac:dyDescent="0.3">
      <c r="C2530" s="14"/>
    </row>
    <row r="2531" spans="3:3" x14ac:dyDescent="0.3">
      <c r="C2531" s="14"/>
    </row>
    <row r="2532" spans="3:3" x14ac:dyDescent="0.3">
      <c r="C2532" s="14"/>
    </row>
    <row r="2533" spans="3:3" x14ac:dyDescent="0.3">
      <c r="C2533" s="14"/>
    </row>
    <row r="2534" spans="3:3" x14ac:dyDescent="0.3">
      <c r="C2534" s="14"/>
    </row>
    <row r="2535" spans="3:3" x14ac:dyDescent="0.3">
      <c r="C2535" s="14"/>
    </row>
    <row r="2536" spans="3:3" x14ac:dyDescent="0.3">
      <c r="C2536" s="14"/>
    </row>
    <row r="2537" spans="3:3" x14ac:dyDescent="0.3">
      <c r="C2537" s="14"/>
    </row>
    <row r="2538" spans="3:3" x14ac:dyDescent="0.3">
      <c r="C2538" s="14"/>
    </row>
    <row r="2539" spans="3:3" x14ac:dyDescent="0.3">
      <c r="C2539" s="14"/>
    </row>
    <row r="2540" spans="3:3" x14ac:dyDescent="0.3">
      <c r="C2540" s="14"/>
    </row>
    <row r="2541" spans="3:3" x14ac:dyDescent="0.3">
      <c r="C2541" s="14"/>
    </row>
    <row r="2542" spans="3:3" x14ac:dyDescent="0.3">
      <c r="C2542" s="14"/>
    </row>
    <row r="2543" spans="3:3" x14ac:dyDescent="0.3">
      <c r="C2543" s="14"/>
    </row>
    <row r="2544" spans="3:3" x14ac:dyDescent="0.3">
      <c r="C2544" s="14"/>
    </row>
    <row r="2545" spans="3:3" x14ac:dyDescent="0.3">
      <c r="C2545" s="14"/>
    </row>
    <row r="2546" spans="3:3" x14ac:dyDescent="0.3">
      <c r="C2546" s="14"/>
    </row>
    <row r="2547" spans="3:3" x14ac:dyDescent="0.3">
      <c r="C2547" s="14"/>
    </row>
    <row r="2548" spans="3:3" x14ac:dyDescent="0.3">
      <c r="C2548" s="14"/>
    </row>
    <row r="2549" spans="3:3" x14ac:dyDescent="0.3">
      <c r="C2549" s="14"/>
    </row>
    <row r="2550" spans="3:3" x14ac:dyDescent="0.3">
      <c r="C2550" s="14"/>
    </row>
    <row r="2551" spans="3:3" x14ac:dyDescent="0.3">
      <c r="C2551" s="14"/>
    </row>
    <row r="2552" spans="3:3" x14ac:dyDescent="0.3">
      <c r="C2552" s="14"/>
    </row>
    <row r="2553" spans="3:3" x14ac:dyDescent="0.3">
      <c r="C2553" s="14"/>
    </row>
    <row r="2554" spans="3:3" x14ac:dyDescent="0.3">
      <c r="C2554" s="14"/>
    </row>
    <row r="2555" spans="3:3" x14ac:dyDescent="0.3">
      <c r="C2555" s="14"/>
    </row>
    <row r="2556" spans="3:3" x14ac:dyDescent="0.3">
      <c r="C2556" s="14"/>
    </row>
    <row r="2557" spans="3:3" x14ac:dyDescent="0.3">
      <c r="C2557" s="14"/>
    </row>
    <row r="2558" spans="3:3" x14ac:dyDescent="0.3">
      <c r="C2558" s="14"/>
    </row>
    <row r="2559" spans="3:3" x14ac:dyDescent="0.3">
      <c r="C2559" s="14"/>
    </row>
    <row r="2560" spans="3:3" x14ac:dyDescent="0.3">
      <c r="C2560" s="14"/>
    </row>
    <row r="2561" spans="3:3" x14ac:dyDescent="0.3">
      <c r="C2561" s="14"/>
    </row>
    <row r="2562" spans="3:3" x14ac:dyDescent="0.3">
      <c r="C2562" s="14"/>
    </row>
    <row r="2563" spans="3:3" x14ac:dyDescent="0.3">
      <c r="C2563" s="14"/>
    </row>
    <row r="2564" spans="3:3" x14ac:dyDescent="0.3">
      <c r="C2564" s="14"/>
    </row>
    <row r="2565" spans="3:3" x14ac:dyDescent="0.3">
      <c r="C2565" s="14"/>
    </row>
    <row r="2566" spans="3:3" x14ac:dyDescent="0.3">
      <c r="C2566" s="14"/>
    </row>
    <row r="2567" spans="3:3" x14ac:dyDescent="0.3">
      <c r="C2567" s="14"/>
    </row>
    <row r="2568" spans="3:3" x14ac:dyDescent="0.3">
      <c r="C2568" s="14"/>
    </row>
    <row r="2569" spans="3:3" x14ac:dyDescent="0.3">
      <c r="C2569" s="14"/>
    </row>
    <row r="2570" spans="3:3" x14ac:dyDescent="0.3">
      <c r="C2570" s="14"/>
    </row>
    <row r="2571" spans="3:3" x14ac:dyDescent="0.3">
      <c r="C2571" s="14"/>
    </row>
    <row r="2572" spans="3:3" x14ac:dyDescent="0.3">
      <c r="C2572" s="14"/>
    </row>
    <row r="2573" spans="3:3" x14ac:dyDescent="0.3">
      <c r="C2573" s="14"/>
    </row>
    <row r="2574" spans="3:3" x14ac:dyDescent="0.3">
      <c r="C2574" s="14"/>
    </row>
    <row r="2575" spans="3:3" x14ac:dyDescent="0.3">
      <c r="C2575" s="14"/>
    </row>
    <row r="2576" spans="3:3" x14ac:dyDescent="0.3">
      <c r="C2576" s="14"/>
    </row>
    <row r="2577" spans="3:3" x14ac:dyDescent="0.3">
      <c r="C2577" s="14"/>
    </row>
    <row r="2578" spans="3:3" x14ac:dyDescent="0.3">
      <c r="C2578" s="14"/>
    </row>
    <row r="2579" spans="3:3" x14ac:dyDescent="0.3">
      <c r="C2579" s="14"/>
    </row>
    <row r="2580" spans="3:3" x14ac:dyDescent="0.3">
      <c r="C2580" s="14"/>
    </row>
    <row r="2581" spans="3:3" x14ac:dyDescent="0.3">
      <c r="C2581" s="14"/>
    </row>
    <row r="2582" spans="3:3" x14ac:dyDescent="0.3">
      <c r="C2582" s="14"/>
    </row>
    <row r="2583" spans="3:3" x14ac:dyDescent="0.3">
      <c r="C2583" s="14"/>
    </row>
    <row r="2584" spans="3:3" x14ac:dyDescent="0.3">
      <c r="C2584" s="14"/>
    </row>
    <row r="2585" spans="3:3" x14ac:dyDescent="0.3">
      <c r="C2585" s="14"/>
    </row>
    <row r="2586" spans="3:3" x14ac:dyDescent="0.3">
      <c r="C2586" s="14"/>
    </row>
    <row r="2587" spans="3:3" x14ac:dyDescent="0.3">
      <c r="C2587" s="14"/>
    </row>
    <row r="2588" spans="3:3" x14ac:dyDescent="0.3">
      <c r="C2588" s="14"/>
    </row>
    <row r="2589" spans="3:3" x14ac:dyDescent="0.3">
      <c r="C2589" s="14"/>
    </row>
    <row r="2590" spans="3:3" x14ac:dyDescent="0.3">
      <c r="C2590" s="14"/>
    </row>
    <row r="2591" spans="3:3" x14ac:dyDescent="0.3">
      <c r="C2591" s="14"/>
    </row>
    <row r="2592" spans="3:3" x14ac:dyDescent="0.3">
      <c r="C2592" s="14"/>
    </row>
    <row r="2593" spans="3:3" x14ac:dyDescent="0.3">
      <c r="C2593" s="14"/>
    </row>
    <row r="2594" spans="3:3" x14ac:dyDescent="0.3">
      <c r="C2594" s="14"/>
    </row>
    <row r="2595" spans="3:3" x14ac:dyDescent="0.3">
      <c r="C2595" s="14"/>
    </row>
    <row r="2596" spans="3:3" x14ac:dyDescent="0.3">
      <c r="C2596" s="14"/>
    </row>
    <row r="2597" spans="3:3" x14ac:dyDescent="0.3">
      <c r="C2597" s="14"/>
    </row>
    <row r="2598" spans="3:3" x14ac:dyDescent="0.3">
      <c r="C2598" s="14"/>
    </row>
    <row r="2599" spans="3:3" x14ac:dyDescent="0.3">
      <c r="C2599" s="14"/>
    </row>
    <row r="2600" spans="3:3" x14ac:dyDescent="0.3">
      <c r="C2600" s="14"/>
    </row>
    <row r="2601" spans="3:3" x14ac:dyDescent="0.3">
      <c r="C2601" s="14"/>
    </row>
    <row r="2602" spans="3:3" x14ac:dyDescent="0.3">
      <c r="C2602" s="14"/>
    </row>
    <row r="2603" spans="3:3" x14ac:dyDescent="0.3">
      <c r="C2603" s="14"/>
    </row>
    <row r="2604" spans="3:3" x14ac:dyDescent="0.3">
      <c r="C2604" s="14"/>
    </row>
    <row r="2605" spans="3:3" x14ac:dyDescent="0.3">
      <c r="C2605" s="14"/>
    </row>
    <row r="2606" spans="3:3" x14ac:dyDescent="0.3">
      <c r="C2606" s="14"/>
    </row>
    <row r="2607" spans="3:3" x14ac:dyDescent="0.3">
      <c r="C2607" s="14"/>
    </row>
    <row r="2608" spans="3:3" x14ac:dyDescent="0.3">
      <c r="C2608" s="14"/>
    </row>
    <row r="2609" spans="3:3" x14ac:dyDescent="0.3">
      <c r="C2609" s="14"/>
    </row>
    <row r="2610" spans="3:3" x14ac:dyDescent="0.3">
      <c r="C2610" s="14"/>
    </row>
    <row r="2611" spans="3:3" x14ac:dyDescent="0.3">
      <c r="C2611" s="14"/>
    </row>
    <row r="2612" spans="3:3" x14ac:dyDescent="0.3">
      <c r="C2612" s="14"/>
    </row>
    <row r="2613" spans="3:3" x14ac:dyDescent="0.3">
      <c r="C2613" s="14"/>
    </row>
    <row r="2614" spans="3:3" x14ac:dyDescent="0.3">
      <c r="C2614" s="14"/>
    </row>
    <row r="2615" spans="3:3" x14ac:dyDescent="0.3">
      <c r="C2615" s="14"/>
    </row>
    <row r="2616" spans="3:3" x14ac:dyDescent="0.3">
      <c r="C2616" s="14"/>
    </row>
    <row r="2617" spans="3:3" x14ac:dyDescent="0.3">
      <c r="C2617" s="14"/>
    </row>
    <row r="2618" spans="3:3" x14ac:dyDescent="0.3">
      <c r="C2618" s="14"/>
    </row>
    <row r="2619" spans="3:3" x14ac:dyDescent="0.3">
      <c r="C2619" s="14"/>
    </row>
    <row r="2620" spans="3:3" x14ac:dyDescent="0.3">
      <c r="C2620" s="14"/>
    </row>
    <row r="2621" spans="3:3" x14ac:dyDescent="0.3">
      <c r="C2621" s="14"/>
    </row>
    <row r="2622" spans="3:3" x14ac:dyDescent="0.3">
      <c r="C2622" s="14"/>
    </row>
    <row r="2623" spans="3:3" x14ac:dyDescent="0.3">
      <c r="C2623" s="14"/>
    </row>
    <row r="2624" spans="3:3" x14ac:dyDescent="0.3">
      <c r="C2624" s="14"/>
    </row>
    <row r="2625" spans="3:3" x14ac:dyDescent="0.3">
      <c r="C2625" s="14"/>
    </row>
    <row r="2626" spans="3:3" x14ac:dyDescent="0.3">
      <c r="C2626" s="14"/>
    </row>
    <row r="2627" spans="3:3" x14ac:dyDescent="0.3">
      <c r="C2627" s="14"/>
    </row>
    <row r="2628" spans="3:3" x14ac:dyDescent="0.3">
      <c r="C2628" s="14"/>
    </row>
    <row r="2629" spans="3:3" x14ac:dyDescent="0.3">
      <c r="C2629" s="14"/>
    </row>
    <row r="2630" spans="3:3" x14ac:dyDescent="0.3">
      <c r="C2630" s="14"/>
    </row>
    <row r="2631" spans="3:3" x14ac:dyDescent="0.3">
      <c r="C2631" s="14"/>
    </row>
    <row r="2632" spans="3:3" x14ac:dyDescent="0.3">
      <c r="C2632" s="14"/>
    </row>
    <row r="2633" spans="3:3" x14ac:dyDescent="0.3">
      <c r="C2633" s="14"/>
    </row>
    <row r="2634" spans="3:3" x14ac:dyDescent="0.3">
      <c r="C2634" s="14"/>
    </row>
    <row r="2635" spans="3:3" x14ac:dyDescent="0.3">
      <c r="C2635" s="14"/>
    </row>
    <row r="2636" spans="3:3" x14ac:dyDescent="0.3">
      <c r="C2636" s="14"/>
    </row>
    <row r="2637" spans="3:3" x14ac:dyDescent="0.3">
      <c r="C2637" s="14"/>
    </row>
    <row r="2638" spans="3:3" x14ac:dyDescent="0.3">
      <c r="C2638" s="14"/>
    </row>
    <row r="2639" spans="3:3" x14ac:dyDescent="0.3">
      <c r="C2639" s="14"/>
    </row>
    <row r="2640" spans="3:3" x14ac:dyDescent="0.3">
      <c r="C2640" s="14"/>
    </row>
    <row r="2641" spans="3:3" x14ac:dyDescent="0.3">
      <c r="C2641" s="14"/>
    </row>
    <row r="2642" spans="3:3" x14ac:dyDescent="0.3">
      <c r="C2642" s="14"/>
    </row>
    <row r="2643" spans="3:3" x14ac:dyDescent="0.3">
      <c r="C2643" s="14"/>
    </row>
    <row r="2644" spans="3:3" x14ac:dyDescent="0.3">
      <c r="C2644" s="14"/>
    </row>
    <row r="2645" spans="3:3" x14ac:dyDescent="0.3">
      <c r="C2645" s="14"/>
    </row>
    <row r="2646" spans="3:3" x14ac:dyDescent="0.3">
      <c r="C2646" s="14"/>
    </row>
    <row r="2647" spans="3:3" x14ac:dyDescent="0.3">
      <c r="C2647" s="14"/>
    </row>
    <row r="2648" spans="3:3" x14ac:dyDescent="0.3">
      <c r="C2648" s="14"/>
    </row>
    <row r="2649" spans="3:3" x14ac:dyDescent="0.3">
      <c r="C2649" s="14"/>
    </row>
    <row r="2650" spans="3:3" x14ac:dyDescent="0.3">
      <c r="C2650" s="14"/>
    </row>
    <row r="2651" spans="3:3" x14ac:dyDescent="0.3">
      <c r="C2651" s="14"/>
    </row>
    <row r="2652" spans="3:3" x14ac:dyDescent="0.3">
      <c r="C2652" s="14"/>
    </row>
    <row r="2653" spans="3:3" x14ac:dyDescent="0.3">
      <c r="C2653" s="14"/>
    </row>
    <row r="2654" spans="3:3" x14ac:dyDescent="0.3">
      <c r="C2654" s="14"/>
    </row>
    <row r="2655" spans="3:3" x14ac:dyDescent="0.3">
      <c r="C2655" s="14"/>
    </row>
    <row r="2656" spans="3:3" x14ac:dyDescent="0.3">
      <c r="C2656" s="14"/>
    </row>
    <row r="2657" spans="3:3" x14ac:dyDescent="0.3">
      <c r="C2657" s="14"/>
    </row>
    <row r="2658" spans="3:3" x14ac:dyDescent="0.3">
      <c r="C2658" s="14"/>
    </row>
    <row r="2659" spans="3:3" x14ac:dyDescent="0.3">
      <c r="C2659" s="14"/>
    </row>
    <row r="2660" spans="3:3" x14ac:dyDescent="0.3">
      <c r="C2660" s="14"/>
    </row>
    <row r="2661" spans="3:3" x14ac:dyDescent="0.3">
      <c r="C2661" s="14"/>
    </row>
    <row r="2662" spans="3:3" x14ac:dyDescent="0.3">
      <c r="C2662" s="14"/>
    </row>
    <row r="2663" spans="3:3" x14ac:dyDescent="0.3">
      <c r="C2663" s="14"/>
    </row>
    <row r="2664" spans="3:3" x14ac:dyDescent="0.3">
      <c r="C2664" s="14"/>
    </row>
    <row r="2665" spans="3:3" x14ac:dyDescent="0.3">
      <c r="C2665" s="14"/>
    </row>
    <row r="2666" spans="3:3" x14ac:dyDescent="0.3">
      <c r="C2666" s="14"/>
    </row>
    <row r="2667" spans="3:3" x14ac:dyDescent="0.3">
      <c r="C2667" s="14"/>
    </row>
    <row r="2668" spans="3:3" x14ac:dyDescent="0.3">
      <c r="C2668" s="14"/>
    </row>
    <row r="2669" spans="3:3" x14ac:dyDescent="0.3">
      <c r="C2669" s="14"/>
    </row>
    <row r="2670" spans="3:3" x14ac:dyDescent="0.3">
      <c r="C2670" s="14"/>
    </row>
    <row r="2671" spans="3:3" x14ac:dyDescent="0.3">
      <c r="C2671" s="14"/>
    </row>
    <row r="2672" spans="3:3" x14ac:dyDescent="0.3">
      <c r="C2672" s="14"/>
    </row>
    <row r="2673" spans="3:3" x14ac:dyDescent="0.3">
      <c r="C2673" s="14"/>
    </row>
    <row r="2674" spans="3:3" x14ac:dyDescent="0.3">
      <c r="C2674" s="14"/>
    </row>
    <row r="2675" spans="3:3" x14ac:dyDescent="0.3">
      <c r="C2675" s="14"/>
    </row>
    <row r="2676" spans="3:3" x14ac:dyDescent="0.3">
      <c r="C2676" s="14"/>
    </row>
    <row r="2677" spans="3:3" x14ac:dyDescent="0.3">
      <c r="C2677" s="14"/>
    </row>
    <row r="2678" spans="3:3" x14ac:dyDescent="0.3">
      <c r="C2678" s="14"/>
    </row>
    <row r="2679" spans="3:3" x14ac:dyDescent="0.3">
      <c r="C2679" s="14"/>
    </row>
    <row r="2680" spans="3:3" x14ac:dyDescent="0.3">
      <c r="C2680" s="14"/>
    </row>
    <row r="2681" spans="3:3" x14ac:dyDescent="0.3">
      <c r="C2681" s="14"/>
    </row>
    <row r="2682" spans="3:3" x14ac:dyDescent="0.3">
      <c r="C2682" s="14"/>
    </row>
    <row r="2683" spans="3:3" x14ac:dyDescent="0.3">
      <c r="C2683" s="14"/>
    </row>
    <row r="2684" spans="3:3" x14ac:dyDescent="0.3">
      <c r="C2684" s="14"/>
    </row>
    <row r="2685" spans="3:3" x14ac:dyDescent="0.3">
      <c r="C2685" s="14"/>
    </row>
    <row r="2686" spans="3:3" x14ac:dyDescent="0.3">
      <c r="C2686" s="14"/>
    </row>
    <row r="2687" spans="3:3" x14ac:dyDescent="0.3">
      <c r="C2687" s="14"/>
    </row>
    <row r="2688" spans="3:3" x14ac:dyDescent="0.3">
      <c r="C2688" s="14"/>
    </row>
    <row r="2689" spans="3:3" x14ac:dyDescent="0.3">
      <c r="C2689" s="14"/>
    </row>
    <row r="2690" spans="3:3" x14ac:dyDescent="0.3">
      <c r="C2690" s="14"/>
    </row>
    <row r="2691" spans="3:3" x14ac:dyDescent="0.3">
      <c r="C2691" s="14"/>
    </row>
    <row r="2692" spans="3:3" x14ac:dyDescent="0.3">
      <c r="C2692" s="14"/>
    </row>
    <row r="2693" spans="3:3" x14ac:dyDescent="0.3">
      <c r="C2693" s="14"/>
    </row>
    <row r="2694" spans="3:3" x14ac:dyDescent="0.3">
      <c r="C2694" s="14"/>
    </row>
    <row r="2695" spans="3:3" x14ac:dyDescent="0.3">
      <c r="C2695" s="14"/>
    </row>
    <row r="2696" spans="3:3" x14ac:dyDescent="0.3">
      <c r="C2696" s="14"/>
    </row>
    <row r="2697" spans="3:3" x14ac:dyDescent="0.3">
      <c r="C2697" s="14"/>
    </row>
    <row r="2698" spans="3:3" x14ac:dyDescent="0.3">
      <c r="C2698" s="14"/>
    </row>
    <row r="2699" spans="3:3" x14ac:dyDescent="0.3">
      <c r="C2699" s="14"/>
    </row>
    <row r="2700" spans="3:3" x14ac:dyDescent="0.3">
      <c r="C2700" s="14"/>
    </row>
    <row r="2701" spans="3:3" x14ac:dyDescent="0.3">
      <c r="C2701" s="14"/>
    </row>
    <row r="2702" spans="3:3" x14ac:dyDescent="0.3">
      <c r="C2702" s="14"/>
    </row>
    <row r="2703" spans="3:3" x14ac:dyDescent="0.3">
      <c r="C2703" s="14"/>
    </row>
    <row r="2704" spans="3:3" x14ac:dyDescent="0.3">
      <c r="C2704" s="14"/>
    </row>
    <row r="2705" spans="3:3" x14ac:dyDescent="0.3">
      <c r="C2705" s="14"/>
    </row>
    <row r="2706" spans="3:3" x14ac:dyDescent="0.3">
      <c r="C2706" s="14"/>
    </row>
    <row r="2707" spans="3:3" x14ac:dyDescent="0.3">
      <c r="C2707" s="14"/>
    </row>
    <row r="2708" spans="3:3" x14ac:dyDescent="0.3">
      <c r="C2708" s="14"/>
    </row>
    <row r="2709" spans="3:3" x14ac:dyDescent="0.3">
      <c r="C2709" s="14"/>
    </row>
    <row r="2710" spans="3:3" x14ac:dyDescent="0.3">
      <c r="C2710" s="14"/>
    </row>
    <row r="2711" spans="3:3" x14ac:dyDescent="0.3">
      <c r="C2711" s="14"/>
    </row>
    <row r="2712" spans="3:3" x14ac:dyDescent="0.3">
      <c r="C2712" s="14"/>
    </row>
    <row r="2713" spans="3:3" x14ac:dyDescent="0.3">
      <c r="C2713" s="14"/>
    </row>
    <row r="2714" spans="3:3" x14ac:dyDescent="0.3">
      <c r="C2714" s="14"/>
    </row>
    <row r="2715" spans="3:3" x14ac:dyDescent="0.3">
      <c r="C2715" s="14"/>
    </row>
    <row r="2716" spans="3:3" x14ac:dyDescent="0.3">
      <c r="C2716" s="14"/>
    </row>
    <row r="2717" spans="3:3" x14ac:dyDescent="0.3">
      <c r="C2717" s="14"/>
    </row>
    <row r="2718" spans="3:3" x14ac:dyDescent="0.3">
      <c r="C2718" s="14"/>
    </row>
    <row r="2719" spans="3:3" x14ac:dyDescent="0.3">
      <c r="C2719" s="14"/>
    </row>
    <row r="2720" spans="3:3" x14ac:dyDescent="0.3">
      <c r="C2720" s="14"/>
    </row>
    <row r="2721" spans="3:3" x14ac:dyDescent="0.3">
      <c r="C2721" s="14"/>
    </row>
    <row r="2722" spans="3:3" x14ac:dyDescent="0.3">
      <c r="C2722" s="14"/>
    </row>
    <row r="2723" spans="3:3" x14ac:dyDescent="0.3">
      <c r="C2723" s="14"/>
    </row>
    <row r="2724" spans="3:3" x14ac:dyDescent="0.3">
      <c r="C2724" s="14"/>
    </row>
    <row r="2725" spans="3:3" x14ac:dyDescent="0.3">
      <c r="C2725" s="14"/>
    </row>
    <row r="2726" spans="3:3" x14ac:dyDescent="0.3">
      <c r="C2726" s="14"/>
    </row>
    <row r="2727" spans="3:3" x14ac:dyDescent="0.3">
      <c r="C2727" s="14"/>
    </row>
    <row r="2728" spans="3:3" x14ac:dyDescent="0.3">
      <c r="C2728" s="14"/>
    </row>
    <row r="2729" spans="3:3" x14ac:dyDescent="0.3">
      <c r="C2729" s="14"/>
    </row>
    <row r="2730" spans="3:3" x14ac:dyDescent="0.3">
      <c r="C2730" s="14"/>
    </row>
    <row r="2731" spans="3:3" x14ac:dyDescent="0.3">
      <c r="C2731" s="14"/>
    </row>
    <row r="2732" spans="3:3" x14ac:dyDescent="0.3">
      <c r="C2732" s="14"/>
    </row>
    <row r="2733" spans="3:3" x14ac:dyDescent="0.3">
      <c r="C2733" s="14"/>
    </row>
    <row r="2734" spans="3:3" x14ac:dyDescent="0.3">
      <c r="C2734" s="14"/>
    </row>
    <row r="2735" spans="3:3" x14ac:dyDescent="0.3">
      <c r="C2735" s="14"/>
    </row>
    <row r="2736" spans="3:3" x14ac:dyDescent="0.3">
      <c r="C2736" s="14"/>
    </row>
    <row r="2737" spans="3:3" x14ac:dyDescent="0.3">
      <c r="C2737" s="14"/>
    </row>
    <row r="2738" spans="3:3" x14ac:dyDescent="0.3">
      <c r="C2738" s="14"/>
    </row>
    <row r="2739" spans="3:3" x14ac:dyDescent="0.3">
      <c r="C2739" s="14"/>
    </row>
    <row r="2740" spans="3:3" x14ac:dyDescent="0.3">
      <c r="C2740" s="14"/>
    </row>
    <row r="2741" spans="3:3" x14ac:dyDescent="0.3">
      <c r="C2741" s="14"/>
    </row>
    <row r="2742" spans="3:3" x14ac:dyDescent="0.3">
      <c r="C2742" s="14"/>
    </row>
    <row r="2743" spans="3:3" x14ac:dyDescent="0.3">
      <c r="C2743" s="14"/>
    </row>
    <row r="2744" spans="3:3" x14ac:dyDescent="0.3">
      <c r="C2744" s="14"/>
    </row>
    <row r="2745" spans="3:3" x14ac:dyDescent="0.3">
      <c r="C2745" s="14"/>
    </row>
    <row r="2746" spans="3:3" x14ac:dyDescent="0.3">
      <c r="C2746" s="14"/>
    </row>
    <row r="2747" spans="3:3" x14ac:dyDescent="0.3">
      <c r="C2747" s="14"/>
    </row>
    <row r="2748" spans="3:3" x14ac:dyDescent="0.3">
      <c r="C2748" s="14"/>
    </row>
    <row r="2749" spans="3:3" x14ac:dyDescent="0.3">
      <c r="C2749" s="14"/>
    </row>
    <row r="2750" spans="3:3" x14ac:dyDescent="0.3">
      <c r="C2750" s="14"/>
    </row>
    <row r="2751" spans="3:3" x14ac:dyDescent="0.3">
      <c r="C2751" s="14"/>
    </row>
    <row r="2752" spans="3:3" x14ac:dyDescent="0.3">
      <c r="C2752" s="14"/>
    </row>
    <row r="2753" spans="3:3" x14ac:dyDescent="0.3">
      <c r="C2753" s="14"/>
    </row>
    <row r="2754" spans="3:3" x14ac:dyDescent="0.3">
      <c r="C2754" s="14"/>
    </row>
    <row r="2755" spans="3:3" x14ac:dyDescent="0.3">
      <c r="C2755" s="14"/>
    </row>
    <row r="2756" spans="3:3" x14ac:dyDescent="0.3">
      <c r="C2756" s="14"/>
    </row>
    <row r="2757" spans="3:3" x14ac:dyDescent="0.3">
      <c r="C2757" s="14"/>
    </row>
    <row r="2758" spans="3:3" x14ac:dyDescent="0.3">
      <c r="C2758" s="14"/>
    </row>
    <row r="2759" spans="3:3" x14ac:dyDescent="0.3">
      <c r="C2759" s="14"/>
    </row>
    <row r="2760" spans="3:3" x14ac:dyDescent="0.3">
      <c r="C2760" s="14"/>
    </row>
    <row r="2761" spans="3:3" x14ac:dyDescent="0.3">
      <c r="C2761" s="14"/>
    </row>
    <row r="2762" spans="3:3" x14ac:dyDescent="0.3">
      <c r="C2762" s="14"/>
    </row>
    <row r="2763" spans="3:3" x14ac:dyDescent="0.3">
      <c r="C2763" s="14"/>
    </row>
    <row r="2764" spans="3:3" x14ac:dyDescent="0.3">
      <c r="C2764" s="14"/>
    </row>
    <row r="2765" spans="3:3" x14ac:dyDescent="0.3">
      <c r="C2765" s="14"/>
    </row>
    <row r="2766" spans="3:3" x14ac:dyDescent="0.3">
      <c r="C2766" s="14"/>
    </row>
    <row r="2767" spans="3:3" x14ac:dyDescent="0.3">
      <c r="C2767" s="14"/>
    </row>
    <row r="2768" spans="3:3" x14ac:dyDescent="0.3">
      <c r="C2768" s="14"/>
    </row>
    <row r="2769" spans="3:3" x14ac:dyDescent="0.3">
      <c r="C2769" s="14"/>
    </row>
    <row r="2770" spans="3:3" x14ac:dyDescent="0.3">
      <c r="C2770" s="14"/>
    </row>
    <row r="2771" spans="3:3" x14ac:dyDescent="0.3">
      <c r="C2771" s="14"/>
    </row>
    <row r="2772" spans="3:3" x14ac:dyDescent="0.3">
      <c r="C2772" s="14"/>
    </row>
    <row r="2773" spans="3:3" x14ac:dyDescent="0.3">
      <c r="C2773" s="14"/>
    </row>
    <row r="2774" spans="3:3" x14ac:dyDescent="0.3">
      <c r="C2774" s="14"/>
    </row>
    <row r="2775" spans="3:3" x14ac:dyDescent="0.3">
      <c r="C2775" s="14"/>
    </row>
    <row r="2776" spans="3:3" x14ac:dyDescent="0.3">
      <c r="C2776" s="14"/>
    </row>
    <row r="2777" spans="3:3" x14ac:dyDescent="0.3">
      <c r="C2777" s="14"/>
    </row>
    <row r="2778" spans="3:3" x14ac:dyDescent="0.3">
      <c r="C2778" s="14"/>
    </row>
    <row r="2779" spans="3:3" x14ac:dyDescent="0.3">
      <c r="C2779" s="14"/>
    </row>
    <row r="2780" spans="3:3" x14ac:dyDescent="0.3">
      <c r="C2780" s="14"/>
    </row>
    <row r="2781" spans="3:3" x14ac:dyDescent="0.3">
      <c r="C2781" s="14"/>
    </row>
    <row r="2782" spans="3:3" x14ac:dyDescent="0.3">
      <c r="C2782" s="14"/>
    </row>
    <row r="2783" spans="3:3" x14ac:dyDescent="0.3">
      <c r="C2783" s="14"/>
    </row>
    <row r="2784" spans="3:3" x14ac:dyDescent="0.3">
      <c r="C2784" s="14"/>
    </row>
    <row r="2785" spans="3:3" x14ac:dyDescent="0.3">
      <c r="C2785" s="14"/>
    </row>
    <row r="2786" spans="3:3" x14ac:dyDescent="0.3">
      <c r="C2786" s="14"/>
    </row>
    <row r="2787" spans="3:3" x14ac:dyDescent="0.3">
      <c r="C2787" s="14"/>
    </row>
    <row r="2788" spans="3:3" x14ac:dyDescent="0.3">
      <c r="C2788" s="14"/>
    </row>
    <row r="2789" spans="3:3" x14ac:dyDescent="0.3">
      <c r="C2789" s="14"/>
    </row>
    <row r="2790" spans="3:3" x14ac:dyDescent="0.3">
      <c r="C2790" s="14"/>
    </row>
    <row r="2791" spans="3:3" x14ac:dyDescent="0.3">
      <c r="C2791" s="14"/>
    </row>
    <row r="2792" spans="3:3" x14ac:dyDescent="0.3">
      <c r="C2792" s="14"/>
    </row>
    <row r="2793" spans="3:3" x14ac:dyDescent="0.3">
      <c r="C2793" s="14"/>
    </row>
    <row r="2794" spans="3:3" x14ac:dyDescent="0.3">
      <c r="C2794" s="14"/>
    </row>
    <row r="2795" spans="3:3" x14ac:dyDescent="0.3">
      <c r="C2795" s="14"/>
    </row>
    <row r="2796" spans="3:3" x14ac:dyDescent="0.3">
      <c r="C2796" s="14"/>
    </row>
    <row r="2797" spans="3:3" x14ac:dyDescent="0.3">
      <c r="C2797" s="14"/>
    </row>
    <row r="2798" spans="3:3" x14ac:dyDescent="0.3">
      <c r="C2798" s="14"/>
    </row>
    <row r="2799" spans="3:3" x14ac:dyDescent="0.3">
      <c r="C2799" s="14"/>
    </row>
    <row r="2800" spans="3:3" x14ac:dyDescent="0.3">
      <c r="C2800" s="14"/>
    </row>
    <row r="2801" spans="3:3" x14ac:dyDescent="0.3">
      <c r="C2801" s="14"/>
    </row>
    <row r="2802" spans="3:3" x14ac:dyDescent="0.3">
      <c r="C2802" s="14"/>
    </row>
    <row r="2803" spans="3:3" x14ac:dyDescent="0.3">
      <c r="C2803" s="14"/>
    </row>
    <row r="2804" spans="3:3" x14ac:dyDescent="0.3">
      <c r="C2804" s="14"/>
    </row>
    <row r="2805" spans="3:3" x14ac:dyDescent="0.3">
      <c r="C2805" s="14"/>
    </row>
    <row r="2806" spans="3:3" x14ac:dyDescent="0.3">
      <c r="C2806" s="14"/>
    </row>
    <row r="2807" spans="3:3" x14ac:dyDescent="0.3">
      <c r="C2807" s="14"/>
    </row>
    <row r="2808" spans="3:3" x14ac:dyDescent="0.3">
      <c r="C2808" s="14"/>
    </row>
    <row r="2809" spans="3:3" x14ac:dyDescent="0.3">
      <c r="C2809" s="14"/>
    </row>
    <row r="2810" spans="3:3" x14ac:dyDescent="0.3">
      <c r="C2810" s="14"/>
    </row>
    <row r="2811" spans="3:3" x14ac:dyDescent="0.3">
      <c r="C2811" s="14"/>
    </row>
    <row r="2812" spans="3:3" x14ac:dyDescent="0.3">
      <c r="C2812" s="14"/>
    </row>
    <row r="2813" spans="3:3" x14ac:dyDescent="0.3">
      <c r="C2813" s="14"/>
    </row>
    <row r="2814" spans="3:3" x14ac:dyDescent="0.3">
      <c r="C2814" s="14"/>
    </row>
    <row r="2815" spans="3:3" x14ac:dyDescent="0.3">
      <c r="C2815" s="14"/>
    </row>
    <row r="2816" spans="3:3" x14ac:dyDescent="0.3">
      <c r="C2816" s="14"/>
    </row>
    <row r="2817" spans="3:3" x14ac:dyDescent="0.3">
      <c r="C2817" s="14"/>
    </row>
    <row r="2818" spans="3:3" x14ac:dyDescent="0.3">
      <c r="C2818" s="14"/>
    </row>
    <row r="2819" spans="3:3" x14ac:dyDescent="0.3">
      <c r="C2819" s="14"/>
    </row>
    <row r="2820" spans="3:3" x14ac:dyDescent="0.3">
      <c r="C2820" s="14"/>
    </row>
    <row r="2821" spans="3:3" x14ac:dyDescent="0.3">
      <c r="C2821" s="14"/>
    </row>
    <row r="2822" spans="3:3" x14ac:dyDescent="0.3">
      <c r="C2822" s="14"/>
    </row>
    <row r="2823" spans="3:3" x14ac:dyDescent="0.3">
      <c r="C2823" s="14"/>
    </row>
    <row r="2824" spans="3:3" x14ac:dyDescent="0.3">
      <c r="C2824" s="14"/>
    </row>
    <row r="2825" spans="3:3" x14ac:dyDescent="0.3">
      <c r="C2825" s="14"/>
    </row>
    <row r="2826" spans="3:3" x14ac:dyDescent="0.3">
      <c r="C2826" s="14"/>
    </row>
    <row r="2827" spans="3:3" x14ac:dyDescent="0.3">
      <c r="C2827" s="14"/>
    </row>
    <row r="2828" spans="3:3" x14ac:dyDescent="0.3">
      <c r="C2828" s="14"/>
    </row>
    <row r="2829" spans="3:3" x14ac:dyDescent="0.3">
      <c r="C2829" s="14"/>
    </row>
    <row r="2830" spans="3:3" x14ac:dyDescent="0.3">
      <c r="C2830" s="14"/>
    </row>
    <row r="2831" spans="3:3" x14ac:dyDescent="0.3">
      <c r="C2831" s="14"/>
    </row>
    <row r="2832" spans="3:3" x14ac:dyDescent="0.3">
      <c r="C2832" s="14"/>
    </row>
    <row r="2833" spans="3:3" x14ac:dyDescent="0.3">
      <c r="C2833" s="14"/>
    </row>
    <row r="2834" spans="3:3" x14ac:dyDescent="0.3">
      <c r="C2834" s="14"/>
    </row>
    <row r="2835" spans="3:3" x14ac:dyDescent="0.3">
      <c r="C2835" s="14"/>
    </row>
    <row r="2836" spans="3:3" x14ac:dyDescent="0.3">
      <c r="C2836" s="14"/>
    </row>
    <row r="2837" spans="3:3" x14ac:dyDescent="0.3">
      <c r="C2837" s="14"/>
    </row>
    <row r="2838" spans="3:3" x14ac:dyDescent="0.3">
      <c r="C2838" s="14"/>
    </row>
    <row r="2839" spans="3:3" x14ac:dyDescent="0.3">
      <c r="C2839" s="14"/>
    </row>
    <row r="2840" spans="3:3" x14ac:dyDescent="0.3">
      <c r="C2840" s="14"/>
    </row>
    <row r="2841" spans="3:3" x14ac:dyDescent="0.3">
      <c r="C2841" s="14"/>
    </row>
    <row r="2842" spans="3:3" x14ac:dyDescent="0.3">
      <c r="C2842" s="14"/>
    </row>
    <row r="2843" spans="3:3" x14ac:dyDescent="0.3">
      <c r="C2843" s="14"/>
    </row>
    <row r="2844" spans="3:3" x14ac:dyDescent="0.3">
      <c r="C2844" s="14"/>
    </row>
    <row r="2845" spans="3:3" x14ac:dyDescent="0.3">
      <c r="C2845" s="14"/>
    </row>
    <row r="2846" spans="3:3" x14ac:dyDescent="0.3">
      <c r="C2846" s="14"/>
    </row>
    <row r="2847" spans="3:3" x14ac:dyDescent="0.3">
      <c r="C2847" s="14"/>
    </row>
    <row r="2848" spans="3:3" x14ac:dyDescent="0.3">
      <c r="C2848" s="14"/>
    </row>
    <row r="2849" spans="3:3" x14ac:dyDescent="0.3">
      <c r="C2849" s="14"/>
    </row>
    <row r="2850" spans="3:3" x14ac:dyDescent="0.3">
      <c r="C2850" s="14"/>
    </row>
    <row r="2851" spans="3:3" x14ac:dyDescent="0.3">
      <c r="C2851" s="14"/>
    </row>
    <row r="2852" spans="3:3" x14ac:dyDescent="0.3">
      <c r="C2852" s="14"/>
    </row>
    <row r="2853" spans="3:3" x14ac:dyDescent="0.3">
      <c r="C2853" s="14"/>
    </row>
    <row r="2854" spans="3:3" x14ac:dyDescent="0.3">
      <c r="C2854" s="14"/>
    </row>
    <row r="2855" spans="3:3" x14ac:dyDescent="0.3">
      <c r="C2855" s="14"/>
    </row>
    <row r="2856" spans="3:3" x14ac:dyDescent="0.3">
      <c r="C2856" s="14"/>
    </row>
    <row r="2857" spans="3:3" x14ac:dyDescent="0.3">
      <c r="C2857" s="14"/>
    </row>
    <row r="2858" spans="3:3" x14ac:dyDescent="0.3">
      <c r="C2858" s="14"/>
    </row>
    <row r="2859" spans="3:3" x14ac:dyDescent="0.3">
      <c r="C2859" s="14"/>
    </row>
    <row r="2860" spans="3:3" x14ac:dyDescent="0.3">
      <c r="C2860" s="14"/>
    </row>
    <row r="2861" spans="3:3" x14ac:dyDescent="0.3">
      <c r="C2861" s="14"/>
    </row>
    <row r="2862" spans="3:3" x14ac:dyDescent="0.3">
      <c r="C2862" s="14"/>
    </row>
    <row r="2863" spans="3:3" x14ac:dyDescent="0.3">
      <c r="C2863" s="14"/>
    </row>
    <row r="2864" spans="3:3" x14ac:dyDescent="0.3">
      <c r="C2864" s="14"/>
    </row>
    <row r="2865" spans="3:3" x14ac:dyDescent="0.3">
      <c r="C2865" s="14"/>
    </row>
    <row r="2866" spans="3:3" x14ac:dyDescent="0.3">
      <c r="C2866" s="14"/>
    </row>
    <row r="2867" spans="3:3" x14ac:dyDescent="0.3">
      <c r="C2867" s="14"/>
    </row>
    <row r="2868" spans="3:3" x14ac:dyDescent="0.3">
      <c r="C2868" s="14"/>
    </row>
    <row r="2869" spans="3:3" x14ac:dyDescent="0.3">
      <c r="C2869" s="14"/>
    </row>
    <row r="2870" spans="3:3" x14ac:dyDescent="0.3">
      <c r="C2870" s="14"/>
    </row>
    <row r="2871" spans="3:3" x14ac:dyDescent="0.3">
      <c r="C2871" s="14"/>
    </row>
    <row r="2872" spans="3:3" x14ac:dyDescent="0.3">
      <c r="C2872" s="14"/>
    </row>
    <row r="2873" spans="3:3" x14ac:dyDescent="0.3">
      <c r="C2873" s="14"/>
    </row>
    <row r="2874" spans="3:3" x14ac:dyDescent="0.3">
      <c r="C2874" s="14"/>
    </row>
    <row r="2875" spans="3:3" x14ac:dyDescent="0.3">
      <c r="C2875" s="14"/>
    </row>
    <row r="2876" spans="3:3" x14ac:dyDescent="0.3">
      <c r="C2876" s="14"/>
    </row>
    <row r="2877" spans="3:3" x14ac:dyDescent="0.3">
      <c r="C2877" s="14"/>
    </row>
    <row r="2878" spans="3:3" x14ac:dyDescent="0.3">
      <c r="C2878" s="14"/>
    </row>
    <row r="2879" spans="3:3" x14ac:dyDescent="0.3">
      <c r="C2879" s="14"/>
    </row>
    <row r="2880" spans="3:3" x14ac:dyDescent="0.3">
      <c r="C2880" s="14"/>
    </row>
    <row r="2881" spans="3:3" x14ac:dyDescent="0.3">
      <c r="C2881" s="14"/>
    </row>
    <row r="2882" spans="3:3" x14ac:dyDescent="0.3">
      <c r="C2882" s="14"/>
    </row>
    <row r="2883" spans="3:3" x14ac:dyDescent="0.3">
      <c r="C2883" s="14"/>
    </row>
    <row r="2884" spans="3:3" x14ac:dyDescent="0.3">
      <c r="C2884" s="14"/>
    </row>
    <row r="2885" spans="3:3" x14ac:dyDescent="0.3">
      <c r="C2885" s="14"/>
    </row>
    <row r="2886" spans="3:3" x14ac:dyDescent="0.3">
      <c r="C2886" s="14"/>
    </row>
    <row r="2887" spans="3:3" x14ac:dyDescent="0.3">
      <c r="C2887" s="14"/>
    </row>
    <row r="2888" spans="3:3" x14ac:dyDescent="0.3">
      <c r="C2888" s="14"/>
    </row>
    <row r="2889" spans="3:3" x14ac:dyDescent="0.3">
      <c r="C2889" s="14"/>
    </row>
    <row r="2890" spans="3:3" x14ac:dyDescent="0.3">
      <c r="C2890" s="14"/>
    </row>
    <row r="2891" spans="3:3" x14ac:dyDescent="0.3">
      <c r="C2891" s="14"/>
    </row>
    <row r="2892" spans="3:3" x14ac:dyDescent="0.3">
      <c r="C2892" s="14"/>
    </row>
    <row r="2893" spans="3:3" x14ac:dyDescent="0.3">
      <c r="C2893" s="14"/>
    </row>
    <row r="2894" spans="3:3" x14ac:dyDescent="0.3">
      <c r="C2894" s="14"/>
    </row>
    <row r="2895" spans="3:3" x14ac:dyDescent="0.3">
      <c r="C2895" s="14"/>
    </row>
    <row r="2896" spans="3:3" x14ac:dyDescent="0.3">
      <c r="C2896" s="14"/>
    </row>
    <row r="2897" spans="3:3" x14ac:dyDescent="0.3">
      <c r="C2897" s="14"/>
    </row>
    <row r="2898" spans="3:3" x14ac:dyDescent="0.3">
      <c r="C2898" s="14"/>
    </row>
    <row r="2899" spans="3:3" x14ac:dyDescent="0.3">
      <c r="C2899" s="14"/>
    </row>
    <row r="2900" spans="3:3" x14ac:dyDescent="0.3">
      <c r="C2900" s="14"/>
    </row>
    <row r="2901" spans="3:3" x14ac:dyDescent="0.3">
      <c r="C2901" s="14"/>
    </row>
    <row r="2902" spans="3:3" x14ac:dyDescent="0.3">
      <c r="C2902" s="14"/>
    </row>
    <row r="2903" spans="3:3" x14ac:dyDescent="0.3">
      <c r="C2903" s="14"/>
    </row>
    <row r="2904" spans="3:3" x14ac:dyDescent="0.3">
      <c r="C2904" s="14"/>
    </row>
    <row r="2905" spans="3:3" x14ac:dyDescent="0.3">
      <c r="C2905" s="14"/>
    </row>
    <row r="2906" spans="3:3" x14ac:dyDescent="0.3">
      <c r="C2906" s="14"/>
    </row>
    <row r="2907" spans="3:3" x14ac:dyDescent="0.3">
      <c r="C2907" s="14"/>
    </row>
    <row r="2908" spans="3:3" x14ac:dyDescent="0.3">
      <c r="C2908" s="14"/>
    </row>
    <row r="2909" spans="3:3" x14ac:dyDescent="0.3">
      <c r="C2909" s="14"/>
    </row>
    <row r="2910" spans="3:3" x14ac:dyDescent="0.3">
      <c r="C2910" s="14"/>
    </row>
    <row r="2911" spans="3:3" x14ac:dyDescent="0.3">
      <c r="C2911" s="14"/>
    </row>
    <row r="2912" spans="3:3" x14ac:dyDescent="0.3">
      <c r="C2912" s="14"/>
    </row>
    <row r="2913" spans="3:3" x14ac:dyDescent="0.3">
      <c r="C2913" s="14"/>
    </row>
    <row r="2914" spans="3:3" x14ac:dyDescent="0.3">
      <c r="C2914" s="14"/>
    </row>
    <row r="2915" spans="3:3" x14ac:dyDescent="0.3">
      <c r="C2915" s="14"/>
    </row>
    <row r="2916" spans="3:3" x14ac:dyDescent="0.3">
      <c r="C2916" s="14"/>
    </row>
    <row r="2917" spans="3:3" x14ac:dyDescent="0.3">
      <c r="C2917" s="14"/>
    </row>
    <row r="2918" spans="3:3" x14ac:dyDescent="0.3">
      <c r="C2918" s="14"/>
    </row>
    <row r="2919" spans="3:3" x14ac:dyDescent="0.3">
      <c r="C2919" s="14"/>
    </row>
    <row r="2920" spans="3:3" x14ac:dyDescent="0.3">
      <c r="C2920" s="14"/>
    </row>
    <row r="2921" spans="3:3" x14ac:dyDescent="0.3">
      <c r="C2921" s="14"/>
    </row>
    <row r="2922" spans="3:3" x14ac:dyDescent="0.3">
      <c r="C2922" s="14"/>
    </row>
    <row r="2923" spans="3:3" x14ac:dyDescent="0.3">
      <c r="C2923" s="14"/>
    </row>
    <row r="2924" spans="3:3" x14ac:dyDescent="0.3">
      <c r="C2924" s="14"/>
    </row>
    <row r="2925" spans="3:3" x14ac:dyDescent="0.3">
      <c r="C2925" s="14"/>
    </row>
    <row r="2926" spans="3:3" x14ac:dyDescent="0.3">
      <c r="C2926" s="14"/>
    </row>
    <row r="2927" spans="3:3" x14ac:dyDescent="0.3">
      <c r="C2927" s="14"/>
    </row>
    <row r="2928" spans="3:3" x14ac:dyDescent="0.3">
      <c r="C2928" s="14"/>
    </row>
    <row r="2929" spans="3:3" x14ac:dyDescent="0.3">
      <c r="C2929" s="14"/>
    </row>
    <row r="2930" spans="3:3" x14ac:dyDescent="0.3">
      <c r="C2930" s="14"/>
    </row>
    <row r="2931" spans="3:3" x14ac:dyDescent="0.3">
      <c r="C2931" s="14"/>
    </row>
    <row r="2932" spans="3:3" x14ac:dyDescent="0.3">
      <c r="C2932" s="14"/>
    </row>
    <row r="2933" spans="3:3" x14ac:dyDescent="0.3">
      <c r="C2933" s="14"/>
    </row>
    <row r="2934" spans="3:3" x14ac:dyDescent="0.3">
      <c r="C2934" s="14"/>
    </row>
    <row r="2935" spans="3:3" x14ac:dyDescent="0.3">
      <c r="C2935" s="14"/>
    </row>
    <row r="2936" spans="3:3" x14ac:dyDescent="0.3">
      <c r="C2936" s="14"/>
    </row>
    <row r="2937" spans="3:3" x14ac:dyDescent="0.3">
      <c r="C2937" s="14"/>
    </row>
    <row r="2938" spans="3:3" x14ac:dyDescent="0.3">
      <c r="C2938" s="14"/>
    </row>
    <row r="2939" spans="3:3" x14ac:dyDescent="0.3">
      <c r="C2939" s="14"/>
    </row>
    <row r="2940" spans="3:3" x14ac:dyDescent="0.3">
      <c r="C2940" s="14"/>
    </row>
    <row r="2941" spans="3:3" x14ac:dyDescent="0.3">
      <c r="C2941" s="14"/>
    </row>
    <row r="2942" spans="3:3" x14ac:dyDescent="0.3">
      <c r="C2942" s="14"/>
    </row>
    <row r="2943" spans="3:3" x14ac:dyDescent="0.3">
      <c r="C2943" s="14"/>
    </row>
    <row r="2944" spans="3:3" x14ac:dyDescent="0.3">
      <c r="C2944" s="14"/>
    </row>
    <row r="2945" spans="3:3" x14ac:dyDescent="0.3">
      <c r="C2945" s="14"/>
    </row>
    <row r="2946" spans="3:3" x14ac:dyDescent="0.3">
      <c r="C2946" s="14"/>
    </row>
    <row r="2947" spans="3:3" x14ac:dyDescent="0.3">
      <c r="C2947" s="14"/>
    </row>
    <row r="2948" spans="3:3" x14ac:dyDescent="0.3">
      <c r="C2948" s="14"/>
    </row>
    <row r="2949" spans="3:3" x14ac:dyDescent="0.3">
      <c r="C2949" s="14"/>
    </row>
    <row r="2950" spans="3:3" x14ac:dyDescent="0.3">
      <c r="C2950" s="14"/>
    </row>
    <row r="2951" spans="3:3" x14ac:dyDescent="0.3">
      <c r="C2951" s="14"/>
    </row>
    <row r="2952" spans="3:3" x14ac:dyDescent="0.3">
      <c r="C2952" s="14"/>
    </row>
    <row r="2953" spans="3:3" x14ac:dyDescent="0.3">
      <c r="C2953" s="14"/>
    </row>
    <row r="2954" spans="3:3" x14ac:dyDescent="0.3">
      <c r="C2954" s="14"/>
    </row>
    <row r="2955" spans="3:3" x14ac:dyDescent="0.3">
      <c r="C2955" s="14"/>
    </row>
    <row r="2956" spans="3:3" x14ac:dyDescent="0.3">
      <c r="C2956" s="14"/>
    </row>
    <row r="2957" spans="3:3" x14ac:dyDescent="0.3">
      <c r="C2957" s="14"/>
    </row>
    <row r="2958" spans="3:3" x14ac:dyDescent="0.3">
      <c r="C2958" s="14"/>
    </row>
    <row r="2959" spans="3:3" x14ac:dyDescent="0.3">
      <c r="C2959" s="14"/>
    </row>
    <row r="2960" spans="3:3" x14ac:dyDescent="0.3">
      <c r="C2960" s="14"/>
    </row>
    <row r="2961" spans="3:3" x14ac:dyDescent="0.3">
      <c r="C2961" s="14"/>
    </row>
    <row r="2962" spans="3:3" x14ac:dyDescent="0.3">
      <c r="C2962" s="14"/>
    </row>
    <row r="2963" spans="3:3" x14ac:dyDescent="0.3">
      <c r="C2963" s="14"/>
    </row>
    <row r="2964" spans="3:3" x14ac:dyDescent="0.3">
      <c r="C2964" s="14"/>
    </row>
    <row r="2965" spans="3:3" x14ac:dyDescent="0.3">
      <c r="C2965" s="14"/>
    </row>
    <row r="2966" spans="3:3" x14ac:dyDescent="0.3">
      <c r="C2966" s="14"/>
    </row>
    <row r="2967" spans="3:3" x14ac:dyDescent="0.3">
      <c r="C2967" s="14"/>
    </row>
    <row r="2968" spans="3:3" x14ac:dyDescent="0.3">
      <c r="C2968" s="14"/>
    </row>
    <row r="2969" spans="3:3" x14ac:dyDescent="0.3">
      <c r="C2969" s="14"/>
    </row>
    <row r="2970" spans="3:3" x14ac:dyDescent="0.3">
      <c r="C2970" s="14"/>
    </row>
    <row r="2971" spans="3:3" x14ac:dyDescent="0.3">
      <c r="C2971" s="14"/>
    </row>
    <row r="2972" spans="3:3" x14ac:dyDescent="0.3">
      <c r="C2972" s="14"/>
    </row>
    <row r="2973" spans="3:3" x14ac:dyDescent="0.3">
      <c r="C2973" s="14"/>
    </row>
    <row r="2974" spans="3:3" x14ac:dyDescent="0.3">
      <c r="C2974" s="14"/>
    </row>
    <row r="2975" spans="3:3" x14ac:dyDescent="0.3">
      <c r="C2975" s="14"/>
    </row>
    <row r="2976" spans="3:3" x14ac:dyDescent="0.3">
      <c r="C2976" s="14"/>
    </row>
    <row r="2977" spans="3:3" x14ac:dyDescent="0.3">
      <c r="C2977" s="14"/>
    </row>
    <row r="2978" spans="3:3" x14ac:dyDescent="0.3">
      <c r="C2978" s="14"/>
    </row>
    <row r="2979" spans="3:3" x14ac:dyDescent="0.3">
      <c r="C2979" s="14"/>
    </row>
    <row r="2980" spans="3:3" x14ac:dyDescent="0.3">
      <c r="C2980" s="14"/>
    </row>
    <row r="2981" spans="3:3" x14ac:dyDescent="0.3">
      <c r="C2981" s="14"/>
    </row>
    <row r="2982" spans="3:3" x14ac:dyDescent="0.3">
      <c r="C2982" s="14"/>
    </row>
    <row r="2983" spans="3:3" x14ac:dyDescent="0.3">
      <c r="C2983" s="14"/>
    </row>
    <row r="2984" spans="3:3" x14ac:dyDescent="0.3">
      <c r="C2984" s="14"/>
    </row>
    <row r="2985" spans="3:3" x14ac:dyDescent="0.3">
      <c r="C2985" s="14"/>
    </row>
    <row r="2986" spans="3:3" x14ac:dyDescent="0.3">
      <c r="C2986" s="14"/>
    </row>
    <row r="2987" spans="3:3" x14ac:dyDescent="0.3">
      <c r="C2987" s="14"/>
    </row>
    <row r="2988" spans="3:3" x14ac:dyDescent="0.3">
      <c r="C2988" s="14"/>
    </row>
    <row r="2989" spans="3:3" x14ac:dyDescent="0.3">
      <c r="C2989" s="14"/>
    </row>
    <row r="2990" spans="3:3" x14ac:dyDescent="0.3">
      <c r="C2990" s="14"/>
    </row>
    <row r="2991" spans="3:3" x14ac:dyDescent="0.3">
      <c r="C2991" s="14"/>
    </row>
    <row r="2992" spans="3:3" x14ac:dyDescent="0.3">
      <c r="C2992" s="14"/>
    </row>
    <row r="2993" spans="3:3" x14ac:dyDescent="0.3">
      <c r="C2993" s="14"/>
    </row>
    <row r="2994" spans="3:3" x14ac:dyDescent="0.3">
      <c r="C2994" s="14"/>
    </row>
    <row r="2995" spans="3:3" x14ac:dyDescent="0.3">
      <c r="C2995" s="14"/>
    </row>
    <row r="2996" spans="3:3" x14ac:dyDescent="0.3">
      <c r="C2996" s="14"/>
    </row>
    <row r="2997" spans="3:3" x14ac:dyDescent="0.3">
      <c r="C2997" s="14"/>
    </row>
    <row r="2998" spans="3:3" x14ac:dyDescent="0.3">
      <c r="C2998" s="14"/>
    </row>
    <row r="2999" spans="3:3" x14ac:dyDescent="0.3">
      <c r="C2999" s="14"/>
    </row>
    <row r="3000" spans="3:3" x14ac:dyDescent="0.3">
      <c r="C3000" s="14"/>
    </row>
    <row r="3001" spans="3:3" x14ac:dyDescent="0.3">
      <c r="C3001" s="14"/>
    </row>
    <row r="3002" spans="3:3" x14ac:dyDescent="0.3">
      <c r="C3002" s="14"/>
    </row>
    <row r="3003" spans="3:3" x14ac:dyDescent="0.3">
      <c r="C3003" s="14"/>
    </row>
    <row r="3004" spans="3:3" x14ac:dyDescent="0.3">
      <c r="C3004" s="14"/>
    </row>
    <row r="3005" spans="3:3" x14ac:dyDescent="0.3">
      <c r="C3005" s="14"/>
    </row>
    <row r="3006" spans="3:3" x14ac:dyDescent="0.3">
      <c r="C3006" s="14"/>
    </row>
    <row r="3007" spans="3:3" x14ac:dyDescent="0.3">
      <c r="C3007" s="14"/>
    </row>
    <row r="3008" spans="3:3" x14ac:dyDescent="0.3">
      <c r="C3008" s="14"/>
    </row>
    <row r="3009" spans="3:3" x14ac:dyDescent="0.3">
      <c r="C3009" s="14"/>
    </row>
    <row r="3010" spans="3:3" x14ac:dyDescent="0.3">
      <c r="C3010" s="14"/>
    </row>
    <row r="3011" spans="3:3" x14ac:dyDescent="0.3">
      <c r="C3011" s="14"/>
    </row>
    <row r="3012" spans="3:3" x14ac:dyDescent="0.3">
      <c r="C3012" s="14"/>
    </row>
    <row r="3013" spans="3:3" x14ac:dyDescent="0.3">
      <c r="C3013" s="14"/>
    </row>
    <row r="3014" spans="3:3" x14ac:dyDescent="0.3">
      <c r="C3014" s="14"/>
    </row>
    <row r="3015" spans="3:3" x14ac:dyDescent="0.3">
      <c r="C3015" s="14"/>
    </row>
    <row r="3016" spans="3:3" x14ac:dyDescent="0.3">
      <c r="C3016" s="14"/>
    </row>
    <row r="3017" spans="3:3" x14ac:dyDescent="0.3">
      <c r="C3017" s="14"/>
    </row>
    <row r="3018" spans="3:3" x14ac:dyDescent="0.3">
      <c r="C3018" s="14"/>
    </row>
    <row r="3019" spans="3:3" x14ac:dyDescent="0.3">
      <c r="C3019" s="14"/>
    </row>
    <row r="3020" spans="3:3" x14ac:dyDescent="0.3">
      <c r="C3020" s="14"/>
    </row>
    <row r="3021" spans="3:3" x14ac:dyDescent="0.3">
      <c r="C3021" s="14"/>
    </row>
    <row r="3022" spans="3:3" x14ac:dyDescent="0.3">
      <c r="C3022" s="14"/>
    </row>
    <row r="3023" spans="3:3" x14ac:dyDescent="0.3">
      <c r="C3023" s="14"/>
    </row>
    <row r="3024" spans="3:3" x14ac:dyDescent="0.3">
      <c r="C3024" s="14"/>
    </row>
    <row r="3025" spans="3:3" x14ac:dyDescent="0.3">
      <c r="C3025" s="14"/>
    </row>
    <row r="3026" spans="3:3" x14ac:dyDescent="0.3">
      <c r="C3026" s="14"/>
    </row>
    <row r="3027" spans="3:3" x14ac:dyDescent="0.3">
      <c r="C3027" s="14"/>
    </row>
    <row r="3028" spans="3:3" x14ac:dyDescent="0.3">
      <c r="C3028" s="14"/>
    </row>
    <row r="3029" spans="3:3" x14ac:dyDescent="0.3">
      <c r="C3029" s="14"/>
    </row>
    <row r="3030" spans="3:3" x14ac:dyDescent="0.3">
      <c r="C3030" s="14"/>
    </row>
    <row r="3031" spans="3:3" x14ac:dyDescent="0.3">
      <c r="C3031" s="14"/>
    </row>
    <row r="3032" spans="3:3" x14ac:dyDescent="0.3">
      <c r="C3032" s="14"/>
    </row>
    <row r="3033" spans="3:3" x14ac:dyDescent="0.3">
      <c r="C3033" s="14"/>
    </row>
    <row r="3034" spans="3:3" x14ac:dyDescent="0.3">
      <c r="C3034" s="14"/>
    </row>
    <row r="3035" spans="3:3" x14ac:dyDescent="0.3">
      <c r="C3035" s="14"/>
    </row>
    <row r="3036" spans="3:3" x14ac:dyDescent="0.3">
      <c r="C3036" s="14"/>
    </row>
    <row r="3037" spans="3:3" x14ac:dyDescent="0.3">
      <c r="C3037" s="14"/>
    </row>
    <row r="3038" spans="3:3" x14ac:dyDescent="0.3">
      <c r="C3038" s="14"/>
    </row>
    <row r="3039" spans="3:3" x14ac:dyDescent="0.3">
      <c r="C3039" s="14"/>
    </row>
    <row r="3040" spans="3:3" x14ac:dyDescent="0.3">
      <c r="C3040" s="14"/>
    </row>
    <row r="3041" spans="3:3" x14ac:dyDescent="0.3">
      <c r="C3041" s="14"/>
    </row>
    <row r="3042" spans="3:3" x14ac:dyDescent="0.3">
      <c r="C3042" s="14"/>
    </row>
    <row r="3043" spans="3:3" x14ac:dyDescent="0.3">
      <c r="C3043" s="14"/>
    </row>
    <row r="3044" spans="3:3" x14ac:dyDescent="0.3">
      <c r="C3044" s="14"/>
    </row>
    <row r="3045" spans="3:3" x14ac:dyDescent="0.3">
      <c r="C3045" s="14"/>
    </row>
    <row r="3046" spans="3:3" x14ac:dyDescent="0.3">
      <c r="C3046" s="14"/>
    </row>
    <row r="3047" spans="3:3" x14ac:dyDescent="0.3">
      <c r="C3047" s="14"/>
    </row>
    <row r="3048" spans="3:3" x14ac:dyDescent="0.3">
      <c r="C3048" s="14"/>
    </row>
    <row r="3049" spans="3:3" x14ac:dyDescent="0.3">
      <c r="C3049" s="14"/>
    </row>
    <row r="3050" spans="3:3" x14ac:dyDescent="0.3">
      <c r="C3050" s="14"/>
    </row>
    <row r="3051" spans="3:3" x14ac:dyDescent="0.3">
      <c r="C3051" s="14"/>
    </row>
    <row r="3052" spans="3:3" x14ac:dyDescent="0.3">
      <c r="C3052" s="14"/>
    </row>
    <row r="3053" spans="3:3" x14ac:dyDescent="0.3">
      <c r="C3053" s="14"/>
    </row>
    <row r="3054" spans="3:3" x14ac:dyDescent="0.3">
      <c r="C3054" s="14"/>
    </row>
    <row r="3055" spans="3:3" x14ac:dyDescent="0.3">
      <c r="C3055" s="14"/>
    </row>
    <row r="3056" spans="3:3" x14ac:dyDescent="0.3">
      <c r="C3056" s="14"/>
    </row>
    <row r="3057" spans="3:3" x14ac:dyDescent="0.3">
      <c r="C3057" s="14"/>
    </row>
    <row r="3058" spans="3:3" x14ac:dyDescent="0.3">
      <c r="C3058" s="14"/>
    </row>
    <row r="3059" spans="3:3" x14ac:dyDescent="0.3">
      <c r="C3059" s="14"/>
    </row>
    <row r="3060" spans="3:3" x14ac:dyDescent="0.3">
      <c r="C3060" s="14"/>
    </row>
    <row r="3061" spans="3:3" x14ac:dyDescent="0.3">
      <c r="C3061" s="14"/>
    </row>
    <row r="3062" spans="3:3" x14ac:dyDescent="0.3">
      <c r="C3062" s="14"/>
    </row>
    <row r="3063" spans="3:3" x14ac:dyDescent="0.3">
      <c r="C3063" s="14"/>
    </row>
    <row r="3064" spans="3:3" x14ac:dyDescent="0.3">
      <c r="C3064" s="14"/>
    </row>
    <row r="3065" spans="3:3" x14ac:dyDescent="0.3">
      <c r="C3065" s="14"/>
    </row>
    <row r="3066" spans="3:3" x14ac:dyDescent="0.3">
      <c r="C3066" s="14"/>
    </row>
    <row r="3067" spans="3:3" x14ac:dyDescent="0.3">
      <c r="C3067" s="14"/>
    </row>
    <row r="3068" spans="3:3" x14ac:dyDescent="0.3">
      <c r="C3068" s="14"/>
    </row>
    <row r="3069" spans="3:3" x14ac:dyDescent="0.3">
      <c r="C3069" s="14"/>
    </row>
    <row r="3070" spans="3:3" x14ac:dyDescent="0.3">
      <c r="C3070" s="14"/>
    </row>
    <row r="3071" spans="3:3" x14ac:dyDescent="0.3">
      <c r="C3071" s="14"/>
    </row>
    <row r="3072" spans="3:3" x14ac:dyDescent="0.3">
      <c r="C3072" s="14"/>
    </row>
    <row r="3073" spans="3:3" x14ac:dyDescent="0.3">
      <c r="C3073" s="14"/>
    </row>
    <row r="3074" spans="3:3" x14ac:dyDescent="0.3">
      <c r="C3074" s="14"/>
    </row>
    <row r="3075" spans="3:3" x14ac:dyDescent="0.3">
      <c r="C3075" s="14"/>
    </row>
    <row r="3076" spans="3:3" x14ac:dyDescent="0.3">
      <c r="C3076" s="14"/>
    </row>
    <row r="3077" spans="3:3" x14ac:dyDescent="0.3">
      <c r="C3077" s="14"/>
    </row>
    <row r="3078" spans="3:3" x14ac:dyDescent="0.3">
      <c r="C3078" s="14"/>
    </row>
    <row r="3079" spans="3:3" x14ac:dyDescent="0.3">
      <c r="C3079" s="14"/>
    </row>
    <row r="3080" spans="3:3" x14ac:dyDescent="0.3">
      <c r="C3080" s="14"/>
    </row>
    <row r="3081" spans="3:3" x14ac:dyDescent="0.3">
      <c r="C3081" s="14"/>
    </row>
    <row r="3082" spans="3:3" x14ac:dyDescent="0.3">
      <c r="C3082" s="14"/>
    </row>
    <row r="3083" spans="3:3" x14ac:dyDescent="0.3">
      <c r="C3083" s="14"/>
    </row>
    <row r="3084" spans="3:3" x14ac:dyDescent="0.3">
      <c r="C3084" s="14"/>
    </row>
    <row r="3085" spans="3:3" x14ac:dyDescent="0.3">
      <c r="C3085" s="14"/>
    </row>
    <row r="3086" spans="3:3" x14ac:dyDescent="0.3">
      <c r="C3086" s="14"/>
    </row>
    <row r="3087" spans="3:3" x14ac:dyDescent="0.3">
      <c r="C3087" s="14"/>
    </row>
    <row r="3088" spans="3:3" x14ac:dyDescent="0.3">
      <c r="C3088" s="14"/>
    </row>
    <row r="3089" spans="3:3" x14ac:dyDescent="0.3">
      <c r="C3089" s="14"/>
    </row>
    <row r="3090" spans="3:3" x14ac:dyDescent="0.3">
      <c r="C3090" s="14"/>
    </row>
    <row r="3091" spans="3:3" x14ac:dyDescent="0.3">
      <c r="C3091" s="14"/>
    </row>
    <row r="3092" spans="3:3" x14ac:dyDescent="0.3">
      <c r="C3092" s="14"/>
    </row>
    <row r="3093" spans="3:3" x14ac:dyDescent="0.3">
      <c r="C3093" s="14"/>
    </row>
    <row r="3094" spans="3:3" x14ac:dyDescent="0.3">
      <c r="C3094" s="14"/>
    </row>
    <row r="3095" spans="3:3" x14ac:dyDescent="0.3">
      <c r="C3095" s="14"/>
    </row>
    <row r="3096" spans="3:3" x14ac:dyDescent="0.3">
      <c r="C3096" s="14"/>
    </row>
    <row r="3097" spans="3:3" x14ac:dyDescent="0.3">
      <c r="C3097" s="14"/>
    </row>
    <row r="3098" spans="3:3" x14ac:dyDescent="0.3">
      <c r="C3098" s="14"/>
    </row>
    <row r="3099" spans="3:3" x14ac:dyDescent="0.3">
      <c r="C3099" s="14"/>
    </row>
    <row r="3100" spans="3:3" x14ac:dyDescent="0.3">
      <c r="C3100" s="14"/>
    </row>
    <row r="3101" spans="3:3" x14ac:dyDescent="0.3">
      <c r="C3101" s="14"/>
    </row>
    <row r="3102" spans="3:3" x14ac:dyDescent="0.3">
      <c r="C3102" s="14"/>
    </row>
    <row r="3103" spans="3:3" x14ac:dyDescent="0.3">
      <c r="C3103" s="14"/>
    </row>
    <row r="3104" spans="3:3" x14ac:dyDescent="0.3">
      <c r="C3104" s="14"/>
    </row>
    <row r="3105" spans="3:3" x14ac:dyDescent="0.3">
      <c r="C3105" s="14"/>
    </row>
    <row r="3106" spans="3:3" x14ac:dyDescent="0.3">
      <c r="C3106" s="14"/>
    </row>
    <row r="3107" spans="3:3" x14ac:dyDescent="0.3">
      <c r="C3107" s="14"/>
    </row>
    <row r="3108" spans="3:3" x14ac:dyDescent="0.3">
      <c r="C3108" s="14"/>
    </row>
    <row r="3109" spans="3:3" x14ac:dyDescent="0.3">
      <c r="C3109" s="14"/>
    </row>
    <row r="3110" spans="3:3" x14ac:dyDescent="0.3">
      <c r="C3110" s="14"/>
    </row>
    <row r="3111" spans="3:3" x14ac:dyDescent="0.3">
      <c r="C3111" s="14"/>
    </row>
    <row r="3112" spans="3:3" x14ac:dyDescent="0.3">
      <c r="C3112" s="14"/>
    </row>
    <row r="3113" spans="3:3" x14ac:dyDescent="0.3">
      <c r="C3113" s="14"/>
    </row>
    <row r="3114" spans="3:3" x14ac:dyDescent="0.3">
      <c r="C3114" s="14"/>
    </row>
    <row r="3115" spans="3:3" x14ac:dyDescent="0.3">
      <c r="C3115" s="14"/>
    </row>
    <row r="3116" spans="3:3" x14ac:dyDescent="0.3">
      <c r="C3116" s="14"/>
    </row>
    <row r="3117" spans="3:3" x14ac:dyDescent="0.3">
      <c r="C3117" s="14"/>
    </row>
    <row r="3118" spans="3:3" x14ac:dyDescent="0.3">
      <c r="C3118" s="14"/>
    </row>
    <row r="3119" spans="3:3" x14ac:dyDescent="0.3">
      <c r="C3119" s="14"/>
    </row>
    <row r="3120" spans="3:3" x14ac:dyDescent="0.3">
      <c r="C3120" s="14"/>
    </row>
    <row r="3121" spans="3:3" x14ac:dyDescent="0.3">
      <c r="C3121" s="14"/>
    </row>
    <row r="3122" spans="3:3" x14ac:dyDescent="0.3">
      <c r="C3122" s="14"/>
    </row>
    <row r="3123" spans="3:3" x14ac:dyDescent="0.3">
      <c r="C3123" s="14"/>
    </row>
    <row r="3124" spans="3:3" x14ac:dyDescent="0.3">
      <c r="C3124" s="14"/>
    </row>
    <row r="3125" spans="3:3" x14ac:dyDescent="0.3">
      <c r="C3125" s="14"/>
    </row>
    <row r="3126" spans="3:3" x14ac:dyDescent="0.3">
      <c r="C3126" s="14"/>
    </row>
    <row r="3127" spans="3:3" x14ac:dyDescent="0.3">
      <c r="C3127" s="14"/>
    </row>
    <row r="3128" spans="3:3" x14ac:dyDescent="0.3">
      <c r="C3128" s="14"/>
    </row>
    <row r="3129" spans="3:3" x14ac:dyDescent="0.3">
      <c r="C3129" s="14"/>
    </row>
    <row r="3130" spans="3:3" x14ac:dyDescent="0.3">
      <c r="C3130" s="14"/>
    </row>
    <row r="3131" spans="3:3" x14ac:dyDescent="0.3">
      <c r="C3131" s="14"/>
    </row>
    <row r="3132" spans="3:3" x14ac:dyDescent="0.3">
      <c r="C3132" s="14"/>
    </row>
    <row r="3133" spans="3:3" x14ac:dyDescent="0.3">
      <c r="C3133" s="14"/>
    </row>
    <row r="3134" spans="3:3" x14ac:dyDescent="0.3">
      <c r="C3134" s="14"/>
    </row>
    <row r="3135" spans="3:3" x14ac:dyDescent="0.3">
      <c r="C3135" s="14"/>
    </row>
    <row r="3136" spans="3:3" x14ac:dyDescent="0.3">
      <c r="C3136" s="14"/>
    </row>
    <row r="3137" spans="3:3" x14ac:dyDescent="0.3">
      <c r="C3137" s="14"/>
    </row>
    <row r="3138" spans="3:3" x14ac:dyDescent="0.3">
      <c r="C3138" s="14"/>
    </row>
    <row r="3139" spans="3:3" x14ac:dyDescent="0.3">
      <c r="C3139" s="14"/>
    </row>
    <row r="3140" spans="3:3" x14ac:dyDescent="0.3">
      <c r="C3140" s="14"/>
    </row>
    <row r="3141" spans="3:3" x14ac:dyDescent="0.3">
      <c r="C3141" s="14"/>
    </row>
    <row r="3142" spans="3:3" x14ac:dyDescent="0.3">
      <c r="C3142" s="14"/>
    </row>
    <row r="3143" spans="3:3" x14ac:dyDescent="0.3">
      <c r="C3143" s="14"/>
    </row>
    <row r="3144" spans="3:3" x14ac:dyDescent="0.3">
      <c r="C3144" s="14"/>
    </row>
    <row r="3145" spans="3:3" x14ac:dyDescent="0.3">
      <c r="C3145" s="14"/>
    </row>
    <row r="3146" spans="3:3" x14ac:dyDescent="0.3">
      <c r="C3146" s="14"/>
    </row>
    <row r="3147" spans="3:3" x14ac:dyDescent="0.3">
      <c r="C3147" s="14"/>
    </row>
    <row r="3148" spans="3:3" x14ac:dyDescent="0.3">
      <c r="C3148" s="14"/>
    </row>
    <row r="3149" spans="3:3" x14ac:dyDescent="0.3">
      <c r="C3149" s="14"/>
    </row>
    <row r="3150" spans="3:3" x14ac:dyDescent="0.3">
      <c r="C3150" s="14"/>
    </row>
    <row r="3151" spans="3:3" x14ac:dyDescent="0.3">
      <c r="C3151" s="14"/>
    </row>
    <row r="3152" spans="3:3" x14ac:dyDescent="0.3">
      <c r="C3152" s="14"/>
    </row>
    <row r="3153" spans="3:3" x14ac:dyDescent="0.3">
      <c r="C3153" s="14"/>
    </row>
    <row r="3154" spans="3:3" x14ac:dyDescent="0.3">
      <c r="C3154" s="14"/>
    </row>
    <row r="3155" spans="3:3" x14ac:dyDescent="0.3">
      <c r="C3155" s="14"/>
    </row>
    <row r="3156" spans="3:3" x14ac:dyDescent="0.3">
      <c r="C3156" s="14"/>
    </row>
    <row r="3157" spans="3:3" x14ac:dyDescent="0.3">
      <c r="C3157" s="14"/>
    </row>
    <row r="3158" spans="3:3" x14ac:dyDescent="0.3">
      <c r="C3158" s="14"/>
    </row>
    <row r="3159" spans="3:3" x14ac:dyDescent="0.3">
      <c r="C3159" s="14"/>
    </row>
    <row r="3160" spans="3:3" x14ac:dyDescent="0.3">
      <c r="C3160" s="14"/>
    </row>
    <row r="3161" spans="3:3" x14ac:dyDescent="0.3">
      <c r="C3161" s="14"/>
    </row>
    <row r="3162" spans="3:3" x14ac:dyDescent="0.3">
      <c r="C3162" s="14"/>
    </row>
    <row r="3163" spans="3:3" x14ac:dyDescent="0.3">
      <c r="C3163" s="14"/>
    </row>
    <row r="3164" spans="3:3" x14ac:dyDescent="0.3">
      <c r="C3164" s="14"/>
    </row>
    <row r="3165" spans="3:3" x14ac:dyDescent="0.3">
      <c r="C3165" s="14"/>
    </row>
    <row r="3166" spans="3:3" x14ac:dyDescent="0.3">
      <c r="C3166" s="14"/>
    </row>
    <row r="3167" spans="3:3" x14ac:dyDescent="0.3">
      <c r="C3167" s="14"/>
    </row>
    <row r="3168" spans="3:3" x14ac:dyDescent="0.3">
      <c r="C3168" s="14"/>
    </row>
    <row r="3169" spans="3:3" x14ac:dyDescent="0.3">
      <c r="C3169" s="14"/>
    </row>
    <row r="3170" spans="3:3" x14ac:dyDescent="0.3">
      <c r="C3170" s="14"/>
    </row>
    <row r="3171" spans="3:3" x14ac:dyDescent="0.3">
      <c r="C3171" s="14"/>
    </row>
    <row r="3172" spans="3:3" x14ac:dyDescent="0.3">
      <c r="C3172" s="14"/>
    </row>
    <row r="3173" spans="3:3" x14ac:dyDescent="0.3">
      <c r="C3173" s="14"/>
    </row>
    <row r="3174" spans="3:3" x14ac:dyDescent="0.3">
      <c r="C3174" s="14"/>
    </row>
    <row r="3175" spans="3:3" x14ac:dyDescent="0.3">
      <c r="C3175" s="14"/>
    </row>
    <row r="3176" spans="3:3" x14ac:dyDescent="0.3">
      <c r="C3176" s="14"/>
    </row>
    <row r="3177" spans="3:3" x14ac:dyDescent="0.3">
      <c r="C3177" s="14"/>
    </row>
    <row r="3178" spans="3:3" x14ac:dyDescent="0.3">
      <c r="C3178" s="14"/>
    </row>
    <row r="3179" spans="3:3" x14ac:dyDescent="0.3">
      <c r="C3179" s="14"/>
    </row>
    <row r="3180" spans="3:3" x14ac:dyDescent="0.3">
      <c r="C3180" s="14"/>
    </row>
    <row r="3181" spans="3:3" x14ac:dyDescent="0.3">
      <c r="C3181" s="14"/>
    </row>
    <row r="3182" spans="3:3" x14ac:dyDescent="0.3">
      <c r="C3182" s="14"/>
    </row>
    <row r="3183" spans="3:3" x14ac:dyDescent="0.3">
      <c r="C3183" s="14"/>
    </row>
    <row r="3184" spans="3:3" x14ac:dyDescent="0.3">
      <c r="C3184" s="14"/>
    </row>
    <row r="3185" spans="3:3" x14ac:dyDescent="0.3">
      <c r="C3185" s="14"/>
    </row>
    <row r="3186" spans="3:3" x14ac:dyDescent="0.3">
      <c r="C3186" s="14"/>
    </row>
    <row r="3187" spans="3:3" x14ac:dyDescent="0.3">
      <c r="C3187" s="14"/>
    </row>
    <row r="3188" spans="3:3" x14ac:dyDescent="0.3">
      <c r="C3188" s="14"/>
    </row>
    <row r="3189" spans="3:3" x14ac:dyDescent="0.3">
      <c r="C3189" s="14"/>
    </row>
    <row r="3190" spans="3:3" x14ac:dyDescent="0.3">
      <c r="C3190" s="14"/>
    </row>
    <row r="3191" spans="3:3" x14ac:dyDescent="0.3">
      <c r="C3191" s="14"/>
    </row>
    <row r="3192" spans="3:3" x14ac:dyDescent="0.3">
      <c r="C3192" s="14"/>
    </row>
    <row r="3193" spans="3:3" x14ac:dyDescent="0.3">
      <c r="C3193" s="14"/>
    </row>
    <row r="3194" spans="3:3" x14ac:dyDescent="0.3">
      <c r="C3194" s="14"/>
    </row>
    <row r="3195" spans="3:3" x14ac:dyDescent="0.3">
      <c r="C3195" s="14"/>
    </row>
    <row r="3196" spans="3:3" x14ac:dyDescent="0.3">
      <c r="C3196" s="14"/>
    </row>
    <row r="3197" spans="3:3" x14ac:dyDescent="0.3">
      <c r="C3197" s="14"/>
    </row>
    <row r="3198" spans="3:3" x14ac:dyDescent="0.3">
      <c r="C3198" s="14"/>
    </row>
    <row r="3199" spans="3:3" x14ac:dyDescent="0.3">
      <c r="C3199" s="14"/>
    </row>
    <row r="3200" spans="3:3" x14ac:dyDescent="0.3">
      <c r="C3200" s="14"/>
    </row>
    <row r="3201" spans="3:3" x14ac:dyDescent="0.3">
      <c r="C3201" s="14"/>
    </row>
    <row r="3202" spans="3:3" x14ac:dyDescent="0.3">
      <c r="C3202" s="14"/>
    </row>
    <row r="3203" spans="3:3" x14ac:dyDescent="0.3">
      <c r="C3203" s="14"/>
    </row>
    <row r="3204" spans="3:3" x14ac:dyDescent="0.3">
      <c r="C3204" s="14"/>
    </row>
    <row r="3205" spans="3:3" x14ac:dyDescent="0.3">
      <c r="C3205" s="14"/>
    </row>
    <row r="3206" spans="3:3" x14ac:dyDescent="0.3">
      <c r="C3206" s="14"/>
    </row>
    <row r="3207" spans="3:3" x14ac:dyDescent="0.3">
      <c r="C3207" s="14"/>
    </row>
    <row r="3208" spans="3:3" x14ac:dyDescent="0.3">
      <c r="C3208" s="14"/>
    </row>
    <row r="3209" spans="3:3" x14ac:dyDescent="0.3">
      <c r="C3209" s="14"/>
    </row>
    <row r="3210" spans="3:3" x14ac:dyDescent="0.3">
      <c r="C3210" s="14"/>
    </row>
    <row r="3211" spans="3:3" x14ac:dyDescent="0.3">
      <c r="C3211" s="14"/>
    </row>
    <row r="3212" spans="3:3" x14ac:dyDescent="0.3">
      <c r="C3212" s="14"/>
    </row>
    <row r="3213" spans="3:3" x14ac:dyDescent="0.3">
      <c r="C3213" s="14"/>
    </row>
    <row r="3214" spans="3:3" x14ac:dyDescent="0.3">
      <c r="C3214" s="14"/>
    </row>
    <row r="3215" spans="3:3" x14ac:dyDescent="0.3">
      <c r="C3215" s="14"/>
    </row>
    <row r="3216" spans="3:3" x14ac:dyDescent="0.3">
      <c r="C3216" s="14"/>
    </row>
    <row r="3217" spans="3:3" x14ac:dyDescent="0.3">
      <c r="C3217" s="14"/>
    </row>
    <row r="3218" spans="3:3" x14ac:dyDescent="0.3">
      <c r="C3218" s="14"/>
    </row>
    <row r="3219" spans="3:3" x14ac:dyDescent="0.3">
      <c r="C3219" s="14"/>
    </row>
    <row r="3220" spans="3:3" x14ac:dyDescent="0.3">
      <c r="C3220" s="14"/>
    </row>
    <row r="3221" spans="3:3" x14ac:dyDescent="0.3">
      <c r="C3221" s="14"/>
    </row>
    <row r="3222" spans="3:3" x14ac:dyDescent="0.3">
      <c r="C3222" s="14"/>
    </row>
    <row r="3223" spans="3:3" x14ac:dyDescent="0.3">
      <c r="C3223" s="14"/>
    </row>
    <row r="3224" spans="3:3" x14ac:dyDescent="0.3">
      <c r="C3224" s="14"/>
    </row>
    <row r="3225" spans="3:3" x14ac:dyDescent="0.3">
      <c r="C3225" s="14"/>
    </row>
    <row r="3226" spans="3:3" x14ac:dyDescent="0.3">
      <c r="C3226" s="14"/>
    </row>
    <row r="3227" spans="3:3" x14ac:dyDescent="0.3">
      <c r="C3227" s="14"/>
    </row>
    <row r="3228" spans="3:3" x14ac:dyDescent="0.3">
      <c r="C3228" s="14"/>
    </row>
    <row r="3229" spans="3:3" x14ac:dyDescent="0.3">
      <c r="C3229" s="14"/>
    </row>
    <row r="3230" spans="3:3" x14ac:dyDescent="0.3">
      <c r="C3230" s="14"/>
    </row>
    <row r="3231" spans="3:3" x14ac:dyDescent="0.3">
      <c r="C3231" s="14"/>
    </row>
    <row r="3232" spans="3:3" x14ac:dyDescent="0.3">
      <c r="C3232" s="14"/>
    </row>
    <row r="3233" spans="3:3" x14ac:dyDescent="0.3">
      <c r="C3233" s="14"/>
    </row>
    <row r="3234" spans="3:3" x14ac:dyDescent="0.3">
      <c r="C3234" s="14"/>
    </row>
    <row r="3235" spans="3:3" x14ac:dyDescent="0.3">
      <c r="C3235" s="14"/>
    </row>
    <row r="3236" spans="3:3" x14ac:dyDescent="0.3">
      <c r="C3236" s="14"/>
    </row>
    <row r="3237" spans="3:3" x14ac:dyDescent="0.3">
      <c r="C3237" s="14"/>
    </row>
    <row r="3238" spans="3:3" x14ac:dyDescent="0.3">
      <c r="C3238" s="14"/>
    </row>
    <row r="3239" spans="3:3" x14ac:dyDescent="0.3">
      <c r="C3239" s="14"/>
    </row>
    <row r="3240" spans="3:3" x14ac:dyDescent="0.3">
      <c r="C3240" s="14"/>
    </row>
    <row r="3241" spans="3:3" x14ac:dyDescent="0.3">
      <c r="C3241" s="14"/>
    </row>
    <row r="3242" spans="3:3" x14ac:dyDescent="0.3">
      <c r="C3242" s="14"/>
    </row>
    <row r="3243" spans="3:3" x14ac:dyDescent="0.3">
      <c r="C3243" s="14"/>
    </row>
    <row r="3244" spans="3:3" x14ac:dyDescent="0.3">
      <c r="C3244" s="14"/>
    </row>
    <row r="3245" spans="3:3" x14ac:dyDescent="0.3">
      <c r="C3245" s="14"/>
    </row>
    <row r="3246" spans="3:3" x14ac:dyDescent="0.3">
      <c r="C3246" s="14"/>
    </row>
    <row r="3247" spans="3:3" x14ac:dyDescent="0.3">
      <c r="C3247" s="14"/>
    </row>
    <row r="3248" spans="3:3" x14ac:dyDescent="0.3">
      <c r="C3248" s="14"/>
    </row>
    <row r="3249" spans="3:3" x14ac:dyDescent="0.3">
      <c r="C3249" s="14"/>
    </row>
    <row r="3250" spans="3:3" x14ac:dyDescent="0.3">
      <c r="C3250" s="14"/>
    </row>
    <row r="3251" spans="3:3" x14ac:dyDescent="0.3">
      <c r="C3251" s="14"/>
    </row>
    <row r="3252" spans="3:3" x14ac:dyDescent="0.3">
      <c r="C3252" s="14"/>
    </row>
    <row r="3253" spans="3:3" x14ac:dyDescent="0.3">
      <c r="C3253" s="14"/>
    </row>
    <row r="3254" spans="3:3" x14ac:dyDescent="0.3">
      <c r="C3254" s="14"/>
    </row>
    <row r="3255" spans="3:3" x14ac:dyDescent="0.3">
      <c r="C3255" s="14"/>
    </row>
    <row r="3256" spans="3:3" x14ac:dyDescent="0.3">
      <c r="C3256" s="14"/>
    </row>
    <row r="3257" spans="3:3" x14ac:dyDescent="0.3">
      <c r="C3257" s="14"/>
    </row>
    <row r="3258" spans="3:3" x14ac:dyDescent="0.3">
      <c r="C3258" s="14"/>
    </row>
    <row r="3259" spans="3:3" x14ac:dyDescent="0.3">
      <c r="C3259" s="14"/>
    </row>
    <row r="3260" spans="3:3" x14ac:dyDescent="0.3">
      <c r="C3260" s="14"/>
    </row>
    <row r="3261" spans="3:3" x14ac:dyDescent="0.3">
      <c r="C3261" s="14"/>
    </row>
    <row r="3262" spans="3:3" x14ac:dyDescent="0.3">
      <c r="C3262" s="14"/>
    </row>
    <row r="3263" spans="3:3" x14ac:dyDescent="0.3">
      <c r="C3263" s="14"/>
    </row>
    <row r="3264" spans="3:3" x14ac:dyDescent="0.3">
      <c r="C3264" s="14"/>
    </row>
    <row r="3265" spans="3:3" x14ac:dyDescent="0.3">
      <c r="C3265" s="14"/>
    </row>
    <row r="3266" spans="3:3" x14ac:dyDescent="0.3">
      <c r="C3266" s="14"/>
    </row>
    <row r="3267" spans="3:3" x14ac:dyDescent="0.3">
      <c r="C3267" s="14"/>
    </row>
    <row r="3268" spans="3:3" x14ac:dyDescent="0.3">
      <c r="C3268" s="14"/>
    </row>
    <row r="3269" spans="3:3" x14ac:dyDescent="0.3">
      <c r="C3269" s="14"/>
    </row>
    <row r="3270" spans="3:3" x14ac:dyDescent="0.3">
      <c r="C3270" s="14"/>
    </row>
    <row r="3271" spans="3:3" x14ac:dyDescent="0.3">
      <c r="C3271" s="14"/>
    </row>
    <row r="3272" spans="3:3" x14ac:dyDescent="0.3">
      <c r="C3272" s="14"/>
    </row>
    <row r="3273" spans="3:3" x14ac:dyDescent="0.3">
      <c r="C3273" s="14"/>
    </row>
    <row r="3274" spans="3:3" x14ac:dyDescent="0.3">
      <c r="C3274" s="14"/>
    </row>
    <row r="3275" spans="3:3" x14ac:dyDescent="0.3">
      <c r="C3275" s="14"/>
    </row>
    <row r="3276" spans="3:3" x14ac:dyDescent="0.3">
      <c r="C3276" s="14"/>
    </row>
    <row r="3277" spans="3:3" x14ac:dyDescent="0.3">
      <c r="C3277" s="14"/>
    </row>
    <row r="3278" spans="3:3" x14ac:dyDescent="0.3">
      <c r="C3278" s="14"/>
    </row>
    <row r="3279" spans="3:3" x14ac:dyDescent="0.3">
      <c r="C3279" s="14"/>
    </row>
    <row r="3280" spans="3:3" x14ac:dyDescent="0.3">
      <c r="C3280" s="14"/>
    </row>
    <row r="3281" spans="3:3" x14ac:dyDescent="0.3">
      <c r="C3281" s="14"/>
    </row>
    <row r="3282" spans="3:3" x14ac:dyDescent="0.3">
      <c r="C3282" s="14"/>
    </row>
    <row r="3283" spans="3:3" x14ac:dyDescent="0.3">
      <c r="C3283" s="14"/>
    </row>
    <row r="3284" spans="3:3" x14ac:dyDescent="0.3">
      <c r="C3284" s="14"/>
    </row>
    <row r="3285" spans="3:3" x14ac:dyDescent="0.3">
      <c r="C3285" s="14"/>
    </row>
    <row r="3286" spans="3:3" x14ac:dyDescent="0.3">
      <c r="C3286" s="14"/>
    </row>
    <row r="3287" spans="3:3" x14ac:dyDescent="0.3">
      <c r="C3287" s="14"/>
    </row>
    <row r="3288" spans="3:3" x14ac:dyDescent="0.3">
      <c r="C3288" s="14"/>
    </row>
    <row r="3289" spans="3:3" x14ac:dyDescent="0.3">
      <c r="C3289" s="14"/>
    </row>
    <row r="3290" spans="3:3" x14ac:dyDescent="0.3">
      <c r="C3290" s="14"/>
    </row>
    <row r="3291" spans="3:3" x14ac:dyDescent="0.3">
      <c r="C3291" s="14"/>
    </row>
    <row r="3292" spans="3:3" x14ac:dyDescent="0.3">
      <c r="C3292" s="14"/>
    </row>
    <row r="3293" spans="3:3" x14ac:dyDescent="0.3">
      <c r="C3293" s="14"/>
    </row>
    <row r="3294" spans="3:3" x14ac:dyDescent="0.3">
      <c r="C3294" s="14"/>
    </row>
    <row r="3295" spans="3:3" x14ac:dyDescent="0.3">
      <c r="C3295" s="14"/>
    </row>
    <row r="3296" spans="3:3" x14ac:dyDescent="0.3">
      <c r="C3296" s="14"/>
    </row>
    <row r="3297" spans="3:3" x14ac:dyDescent="0.3">
      <c r="C3297" s="14"/>
    </row>
    <row r="3298" spans="3:3" x14ac:dyDescent="0.3">
      <c r="C3298" s="14"/>
    </row>
    <row r="3299" spans="3:3" x14ac:dyDescent="0.3">
      <c r="C3299" s="14"/>
    </row>
    <row r="3300" spans="3:3" x14ac:dyDescent="0.3">
      <c r="C3300" s="14"/>
    </row>
    <row r="3301" spans="3:3" x14ac:dyDescent="0.3">
      <c r="C3301" s="14"/>
    </row>
    <row r="3302" spans="3:3" x14ac:dyDescent="0.3">
      <c r="C3302" s="14"/>
    </row>
    <row r="3303" spans="3:3" x14ac:dyDescent="0.3">
      <c r="C3303" s="14"/>
    </row>
    <row r="3304" spans="3:3" x14ac:dyDescent="0.3">
      <c r="C3304" s="14"/>
    </row>
    <row r="3305" spans="3:3" x14ac:dyDescent="0.3">
      <c r="C3305" s="14"/>
    </row>
    <row r="3306" spans="3:3" x14ac:dyDescent="0.3">
      <c r="C3306" s="14"/>
    </row>
    <row r="3307" spans="3:3" x14ac:dyDescent="0.3">
      <c r="C3307" s="14"/>
    </row>
    <row r="3308" spans="3:3" x14ac:dyDescent="0.3">
      <c r="C3308" s="14"/>
    </row>
    <row r="3309" spans="3:3" x14ac:dyDescent="0.3">
      <c r="C3309" s="14"/>
    </row>
    <row r="3310" spans="3:3" x14ac:dyDescent="0.3">
      <c r="C3310" s="14"/>
    </row>
    <row r="3311" spans="3:3" x14ac:dyDescent="0.3">
      <c r="C3311" s="14"/>
    </row>
    <row r="3312" spans="3:3" x14ac:dyDescent="0.3">
      <c r="C3312" s="14"/>
    </row>
    <row r="3313" spans="3:3" x14ac:dyDescent="0.3">
      <c r="C3313" s="14"/>
    </row>
    <row r="3314" spans="3:3" x14ac:dyDescent="0.3">
      <c r="C3314" s="14"/>
    </row>
    <row r="3315" spans="3:3" x14ac:dyDescent="0.3">
      <c r="C3315" s="14"/>
    </row>
    <row r="3316" spans="3:3" x14ac:dyDescent="0.3">
      <c r="C3316" s="14"/>
    </row>
    <row r="3317" spans="3:3" x14ac:dyDescent="0.3">
      <c r="C3317" s="14"/>
    </row>
    <row r="3318" spans="3:3" x14ac:dyDescent="0.3">
      <c r="C3318" s="14"/>
    </row>
    <row r="3319" spans="3:3" x14ac:dyDescent="0.3">
      <c r="C3319" s="14"/>
    </row>
    <row r="3320" spans="3:3" x14ac:dyDescent="0.3">
      <c r="C3320" s="14"/>
    </row>
    <row r="3321" spans="3:3" x14ac:dyDescent="0.3">
      <c r="C3321" s="14"/>
    </row>
    <row r="3322" spans="3:3" x14ac:dyDescent="0.3">
      <c r="C3322" s="14"/>
    </row>
    <row r="3323" spans="3:3" x14ac:dyDescent="0.3">
      <c r="C3323" s="14"/>
    </row>
    <row r="3324" spans="3:3" x14ac:dyDescent="0.3">
      <c r="C3324" s="14"/>
    </row>
    <row r="3325" spans="3:3" x14ac:dyDescent="0.3">
      <c r="C3325" s="14"/>
    </row>
    <row r="3326" spans="3:3" x14ac:dyDescent="0.3">
      <c r="C3326" s="14"/>
    </row>
    <row r="3327" spans="3:3" x14ac:dyDescent="0.3">
      <c r="C3327" s="14"/>
    </row>
    <row r="3328" spans="3:3" x14ac:dyDescent="0.3">
      <c r="C3328" s="14"/>
    </row>
    <row r="3329" spans="3:3" x14ac:dyDescent="0.3">
      <c r="C3329" s="14"/>
    </row>
    <row r="3330" spans="3:3" x14ac:dyDescent="0.3">
      <c r="C3330" s="14"/>
    </row>
    <row r="3331" spans="3:3" x14ac:dyDescent="0.3">
      <c r="C3331" s="14"/>
    </row>
    <row r="3332" spans="3:3" x14ac:dyDescent="0.3">
      <c r="C3332" s="14"/>
    </row>
    <row r="3333" spans="3:3" x14ac:dyDescent="0.3">
      <c r="C3333" s="14"/>
    </row>
    <row r="3334" spans="3:3" x14ac:dyDescent="0.3">
      <c r="C3334" s="14"/>
    </row>
    <row r="3335" spans="3:3" x14ac:dyDescent="0.3">
      <c r="C3335" s="14"/>
    </row>
    <row r="3336" spans="3:3" x14ac:dyDescent="0.3">
      <c r="C3336" s="14"/>
    </row>
    <row r="3337" spans="3:3" x14ac:dyDescent="0.3">
      <c r="C3337" s="14"/>
    </row>
    <row r="3338" spans="3:3" x14ac:dyDescent="0.3">
      <c r="C3338" s="14"/>
    </row>
    <row r="3339" spans="3:3" x14ac:dyDescent="0.3">
      <c r="C3339" s="14"/>
    </row>
    <row r="3340" spans="3:3" x14ac:dyDescent="0.3">
      <c r="C3340" s="14"/>
    </row>
    <row r="3341" spans="3:3" x14ac:dyDescent="0.3">
      <c r="C3341" s="14"/>
    </row>
    <row r="3342" spans="3:3" x14ac:dyDescent="0.3">
      <c r="C3342" s="14"/>
    </row>
    <row r="3343" spans="3:3" x14ac:dyDescent="0.3">
      <c r="C3343" s="14"/>
    </row>
    <row r="3344" spans="3:3" x14ac:dyDescent="0.3">
      <c r="C3344" s="14"/>
    </row>
    <row r="3345" spans="3:3" x14ac:dyDescent="0.3">
      <c r="C3345" s="14"/>
    </row>
    <row r="3346" spans="3:3" x14ac:dyDescent="0.3">
      <c r="C3346" s="14"/>
    </row>
    <row r="3347" spans="3:3" x14ac:dyDescent="0.3">
      <c r="C3347" s="14"/>
    </row>
    <row r="3348" spans="3:3" x14ac:dyDescent="0.3">
      <c r="C3348" s="14"/>
    </row>
    <row r="3349" spans="3:3" x14ac:dyDescent="0.3">
      <c r="C3349" s="14"/>
    </row>
    <row r="3350" spans="3:3" x14ac:dyDescent="0.3">
      <c r="C3350" s="14"/>
    </row>
    <row r="3351" spans="3:3" x14ac:dyDescent="0.3">
      <c r="C3351" s="14"/>
    </row>
    <row r="3352" spans="3:3" x14ac:dyDescent="0.3">
      <c r="C3352" s="14"/>
    </row>
    <row r="3353" spans="3:3" x14ac:dyDescent="0.3">
      <c r="C3353" s="14"/>
    </row>
    <row r="3354" spans="3:3" x14ac:dyDescent="0.3">
      <c r="C3354" s="14"/>
    </row>
    <row r="3355" spans="3:3" x14ac:dyDescent="0.3">
      <c r="C3355" s="14"/>
    </row>
    <row r="3356" spans="3:3" x14ac:dyDescent="0.3">
      <c r="C3356" s="14"/>
    </row>
    <row r="3357" spans="3:3" x14ac:dyDescent="0.3">
      <c r="C3357" s="14"/>
    </row>
    <row r="3358" spans="3:3" x14ac:dyDescent="0.3">
      <c r="C3358" s="14"/>
    </row>
    <row r="3359" spans="3:3" x14ac:dyDescent="0.3">
      <c r="C3359" s="14"/>
    </row>
    <row r="3360" spans="3:3" x14ac:dyDescent="0.3">
      <c r="C3360" s="14"/>
    </row>
    <row r="3361" spans="3:3" x14ac:dyDescent="0.3">
      <c r="C3361" s="14"/>
    </row>
    <row r="3362" spans="3:3" x14ac:dyDescent="0.3">
      <c r="C3362" s="14"/>
    </row>
    <row r="3363" spans="3:3" x14ac:dyDescent="0.3">
      <c r="C3363" s="14"/>
    </row>
    <row r="3364" spans="3:3" x14ac:dyDescent="0.3">
      <c r="C3364" s="14"/>
    </row>
    <row r="3365" spans="3:3" x14ac:dyDescent="0.3">
      <c r="C3365" s="14"/>
    </row>
    <row r="3366" spans="3:3" x14ac:dyDescent="0.3">
      <c r="C3366" s="14"/>
    </row>
    <row r="3367" spans="3:3" x14ac:dyDescent="0.3">
      <c r="C3367" s="14"/>
    </row>
    <row r="3368" spans="3:3" x14ac:dyDescent="0.3">
      <c r="C3368" s="14"/>
    </row>
    <row r="3369" spans="3:3" x14ac:dyDescent="0.3">
      <c r="C3369" s="14"/>
    </row>
    <row r="3370" spans="3:3" x14ac:dyDescent="0.3">
      <c r="C3370" s="14"/>
    </row>
    <row r="3371" spans="3:3" x14ac:dyDescent="0.3">
      <c r="C3371" s="14"/>
    </row>
    <row r="3372" spans="3:3" x14ac:dyDescent="0.3">
      <c r="C3372" s="14"/>
    </row>
    <row r="3373" spans="3:3" x14ac:dyDescent="0.3">
      <c r="C3373" s="14"/>
    </row>
    <row r="3374" spans="3:3" x14ac:dyDescent="0.3">
      <c r="C3374" s="14"/>
    </row>
    <row r="3375" spans="3:3" x14ac:dyDescent="0.3">
      <c r="C3375" s="14"/>
    </row>
    <row r="3376" spans="3:3" x14ac:dyDescent="0.3">
      <c r="C3376" s="14"/>
    </row>
    <row r="3377" spans="3:3" x14ac:dyDescent="0.3">
      <c r="C3377" s="14"/>
    </row>
    <row r="3378" spans="3:3" x14ac:dyDescent="0.3">
      <c r="C3378" s="14"/>
    </row>
    <row r="3379" spans="3:3" x14ac:dyDescent="0.3">
      <c r="C3379" s="14"/>
    </row>
    <row r="3380" spans="3:3" x14ac:dyDescent="0.3">
      <c r="C3380" s="14"/>
    </row>
    <row r="3381" spans="3:3" x14ac:dyDescent="0.3">
      <c r="C3381" s="14"/>
    </row>
    <row r="3382" spans="3:3" x14ac:dyDescent="0.3">
      <c r="C3382" s="14"/>
    </row>
    <row r="3383" spans="3:3" x14ac:dyDescent="0.3">
      <c r="C3383" s="14"/>
    </row>
    <row r="3384" spans="3:3" x14ac:dyDescent="0.3">
      <c r="C3384" s="14"/>
    </row>
    <row r="3385" spans="3:3" x14ac:dyDescent="0.3">
      <c r="C3385" s="14"/>
    </row>
    <row r="3386" spans="3:3" x14ac:dyDescent="0.3">
      <c r="C3386" s="14"/>
    </row>
    <row r="3387" spans="3:3" x14ac:dyDescent="0.3">
      <c r="C3387" s="14"/>
    </row>
    <row r="3388" spans="3:3" x14ac:dyDescent="0.3">
      <c r="C3388" s="14"/>
    </row>
    <row r="3389" spans="3:3" x14ac:dyDescent="0.3">
      <c r="C3389" s="14"/>
    </row>
    <row r="3390" spans="3:3" x14ac:dyDescent="0.3">
      <c r="C3390" s="14"/>
    </row>
    <row r="3391" spans="3:3" x14ac:dyDescent="0.3">
      <c r="C3391" s="14"/>
    </row>
    <row r="3392" spans="3:3" x14ac:dyDescent="0.3">
      <c r="C3392" s="14"/>
    </row>
    <row r="3393" spans="3:3" x14ac:dyDescent="0.3">
      <c r="C3393" s="14"/>
    </row>
    <row r="3394" spans="3:3" x14ac:dyDescent="0.3">
      <c r="C3394" s="14"/>
    </row>
    <row r="3395" spans="3:3" x14ac:dyDescent="0.3">
      <c r="C3395" s="14"/>
    </row>
    <row r="3396" spans="3:3" x14ac:dyDescent="0.3">
      <c r="C3396" s="14"/>
    </row>
    <row r="3397" spans="3:3" x14ac:dyDescent="0.3">
      <c r="C3397" s="14"/>
    </row>
    <row r="3398" spans="3:3" x14ac:dyDescent="0.3">
      <c r="C3398" s="14"/>
    </row>
    <row r="3399" spans="3:3" x14ac:dyDescent="0.3">
      <c r="C3399" s="14"/>
    </row>
    <row r="3400" spans="3:3" x14ac:dyDescent="0.3">
      <c r="C3400" s="14"/>
    </row>
    <row r="3401" spans="3:3" x14ac:dyDescent="0.3">
      <c r="C3401" s="14"/>
    </row>
    <row r="3402" spans="3:3" x14ac:dyDescent="0.3">
      <c r="C3402" s="14"/>
    </row>
    <row r="3403" spans="3:3" x14ac:dyDescent="0.3">
      <c r="C3403" s="14"/>
    </row>
    <row r="3404" spans="3:3" x14ac:dyDescent="0.3">
      <c r="C3404" s="14"/>
    </row>
    <row r="3405" spans="3:3" x14ac:dyDescent="0.3">
      <c r="C3405" s="14"/>
    </row>
    <row r="3406" spans="3:3" x14ac:dyDescent="0.3">
      <c r="C3406" s="14"/>
    </row>
    <row r="3407" spans="3:3" x14ac:dyDescent="0.3">
      <c r="C3407" s="14"/>
    </row>
    <row r="3408" spans="3:3" x14ac:dyDescent="0.3">
      <c r="C3408" s="14"/>
    </row>
    <row r="3409" spans="3:3" x14ac:dyDescent="0.3">
      <c r="C3409" s="14"/>
    </row>
    <row r="3410" spans="3:3" x14ac:dyDescent="0.3">
      <c r="C3410" s="14"/>
    </row>
    <row r="3411" spans="3:3" x14ac:dyDescent="0.3">
      <c r="C3411" s="14"/>
    </row>
    <row r="3412" spans="3:3" x14ac:dyDescent="0.3">
      <c r="C3412" s="14"/>
    </row>
    <row r="3413" spans="3:3" x14ac:dyDescent="0.3">
      <c r="C3413" s="14"/>
    </row>
    <row r="3414" spans="3:3" x14ac:dyDescent="0.3">
      <c r="C3414" s="14"/>
    </row>
    <row r="3415" spans="3:3" x14ac:dyDescent="0.3">
      <c r="C3415" s="14"/>
    </row>
    <row r="3416" spans="3:3" x14ac:dyDescent="0.3">
      <c r="C3416" s="14"/>
    </row>
    <row r="3417" spans="3:3" x14ac:dyDescent="0.3">
      <c r="C3417" s="14"/>
    </row>
    <row r="3418" spans="3:3" x14ac:dyDescent="0.3">
      <c r="C3418" s="14"/>
    </row>
    <row r="3419" spans="3:3" x14ac:dyDescent="0.3">
      <c r="C3419" s="14"/>
    </row>
    <row r="3420" spans="3:3" x14ac:dyDescent="0.3">
      <c r="C3420" s="14"/>
    </row>
    <row r="3421" spans="3:3" x14ac:dyDescent="0.3">
      <c r="C3421" s="14"/>
    </row>
    <row r="3422" spans="3:3" x14ac:dyDescent="0.3">
      <c r="C3422" s="14"/>
    </row>
    <row r="3423" spans="3:3" x14ac:dyDescent="0.3">
      <c r="C3423" s="14"/>
    </row>
    <row r="3424" spans="3:3" x14ac:dyDescent="0.3">
      <c r="C3424" s="14"/>
    </row>
    <row r="3425" spans="3:3" x14ac:dyDescent="0.3">
      <c r="C3425" s="14"/>
    </row>
    <row r="3426" spans="3:3" x14ac:dyDescent="0.3">
      <c r="C3426" s="14"/>
    </row>
    <row r="3427" spans="3:3" x14ac:dyDescent="0.3">
      <c r="C3427" s="14"/>
    </row>
    <row r="3428" spans="3:3" x14ac:dyDescent="0.3">
      <c r="C3428" s="14"/>
    </row>
    <row r="3429" spans="3:3" x14ac:dyDescent="0.3">
      <c r="C3429" s="14"/>
    </row>
    <row r="3430" spans="3:3" x14ac:dyDescent="0.3">
      <c r="C3430" s="14"/>
    </row>
    <row r="3431" spans="3:3" x14ac:dyDescent="0.3">
      <c r="C3431" s="14"/>
    </row>
    <row r="3432" spans="3:3" x14ac:dyDescent="0.3">
      <c r="C3432" s="14"/>
    </row>
    <row r="3433" spans="3:3" x14ac:dyDescent="0.3">
      <c r="C3433" s="14"/>
    </row>
    <row r="3434" spans="3:3" x14ac:dyDescent="0.3">
      <c r="C3434" s="14"/>
    </row>
    <row r="3435" spans="3:3" x14ac:dyDescent="0.3">
      <c r="C3435" s="14"/>
    </row>
    <row r="3436" spans="3:3" x14ac:dyDescent="0.3">
      <c r="C3436" s="14"/>
    </row>
    <row r="3437" spans="3:3" x14ac:dyDescent="0.3">
      <c r="C3437" s="14"/>
    </row>
    <row r="3438" spans="3:3" x14ac:dyDescent="0.3">
      <c r="C3438" s="14"/>
    </row>
    <row r="3439" spans="3:3" x14ac:dyDescent="0.3">
      <c r="C3439" s="14"/>
    </row>
    <row r="3440" spans="3:3" x14ac:dyDescent="0.3">
      <c r="C3440" s="14"/>
    </row>
    <row r="3441" spans="3:3" x14ac:dyDescent="0.3">
      <c r="C3441" s="14"/>
    </row>
    <row r="3442" spans="3:3" x14ac:dyDescent="0.3">
      <c r="C3442" s="14"/>
    </row>
    <row r="3443" spans="3:3" x14ac:dyDescent="0.3">
      <c r="C3443" s="14"/>
    </row>
    <row r="3444" spans="3:3" x14ac:dyDescent="0.3">
      <c r="C3444" s="14"/>
    </row>
    <row r="3445" spans="3:3" x14ac:dyDescent="0.3">
      <c r="C3445" s="14"/>
    </row>
    <row r="3446" spans="3:3" x14ac:dyDescent="0.3">
      <c r="C3446" s="14"/>
    </row>
    <row r="3447" spans="3:3" x14ac:dyDescent="0.3">
      <c r="C3447" s="14"/>
    </row>
    <row r="3448" spans="3:3" x14ac:dyDescent="0.3">
      <c r="C3448" s="14"/>
    </row>
    <row r="3449" spans="3:3" x14ac:dyDescent="0.3">
      <c r="C3449" s="14"/>
    </row>
    <row r="3450" spans="3:3" x14ac:dyDescent="0.3">
      <c r="C3450" s="14"/>
    </row>
    <row r="3451" spans="3:3" x14ac:dyDescent="0.3">
      <c r="C3451" s="14"/>
    </row>
    <row r="3452" spans="3:3" x14ac:dyDescent="0.3">
      <c r="C3452" s="14"/>
    </row>
    <row r="3453" spans="3:3" x14ac:dyDescent="0.3">
      <c r="C3453" s="14"/>
    </row>
    <row r="3454" spans="3:3" x14ac:dyDescent="0.3">
      <c r="C3454" s="14"/>
    </row>
    <row r="3455" spans="3:3" x14ac:dyDescent="0.3">
      <c r="C3455" s="14"/>
    </row>
    <row r="3456" spans="3:3" x14ac:dyDescent="0.3">
      <c r="C3456" s="14"/>
    </row>
    <row r="3457" spans="3:3" x14ac:dyDescent="0.3">
      <c r="C3457" s="14"/>
    </row>
    <row r="3458" spans="3:3" x14ac:dyDescent="0.3">
      <c r="C3458" s="14"/>
    </row>
    <row r="3459" spans="3:3" x14ac:dyDescent="0.3">
      <c r="C3459" s="14"/>
    </row>
    <row r="3460" spans="3:3" x14ac:dyDescent="0.3">
      <c r="C3460" s="14"/>
    </row>
    <row r="3461" spans="3:3" x14ac:dyDescent="0.3">
      <c r="C3461" s="14"/>
    </row>
    <row r="3462" spans="3:3" x14ac:dyDescent="0.3">
      <c r="C3462" s="14"/>
    </row>
    <row r="3463" spans="3:3" x14ac:dyDescent="0.3">
      <c r="C3463" s="14"/>
    </row>
    <row r="3464" spans="3:3" x14ac:dyDescent="0.3">
      <c r="C3464" s="14"/>
    </row>
    <row r="3465" spans="3:3" x14ac:dyDescent="0.3">
      <c r="C3465" s="14"/>
    </row>
    <row r="3466" spans="3:3" x14ac:dyDescent="0.3">
      <c r="C3466" s="14"/>
    </row>
    <row r="3467" spans="3:3" x14ac:dyDescent="0.3">
      <c r="C3467" s="14"/>
    </row>
    <row r="3468" spans="3:3" x14ac:dyDescent="0.3">
      <c r="C3468" s="14"/>
    </row>
    <row r="3469" spans="3:3" x14ac:dyDescent="0.3">
      <c r="C3469" s="14"/>
    </row>
    <row r="3470" spans="3:3" x14ac:dyDescent="0.3">
      <c r="C3470" s="14"/>
    </row>
    <row r="3471" spans="3:3" x14ac:dyDescent="0.3">
      <c r="C3471" s="14"/>
    </row>
    <row r="3472" spans="3:3" x14ac:dyDescent="0.3">
      <c r="C3472" s="14"/>
    </row>
    <row r="3473" spans="3:3" x14ac:dyDescent="0.3">
      <c r="C3473" s="14"/>
    </row>
    <row r="3474" spans="3:3" x14ac:dyDescent="0.3">
      <c r="C3474" s="14"/>
    </row>
    <row r="3475" spans="3:3" x14ac:dyDescent="0.3">
      <c r="C3475" s="14"/>
    </row>
    <row r="3476" spans="3:3" x14ac:dyDescent="0.3">
      <c r="C3476" s="14"/>
    </row>
    <row r="3477" spans="3:3" x14ac:dyDescent="0.3">
      <c r="C3477" s="14"/>
    </row>
    <row r="3478" spans="3:3" x14ac:dyDescent="0.3">
      <c r="C3478" s="14"/>
    </row>
    <row r="3479" spans="3:3" x14ac:dyDescent="0.3">
      <c r="C3479" s="14"/>
    </row>
    <row r="3480" spans="3:3" x14ac:dyDescent="0.3">
      <c r="C3480" s="14"/>
    </row>
    <row r="3481" spans="3:3" x14ac:dyDescent="0.3">
      <c r="C3481" s="14"/>
    </row>
    <row r="3482" spans="3:3" x14ac:dyDescent="0.3">
      <c r="C3482" s="14"/>
    </row>
    <row r="3483" spans="3:3" x14ac:dyDescent="0.3">
      <c r="C3483" s="14"/>
    </row>
    <row r="3484" spans="3:3" x14ac:dyDescent="0.3">
      <c r="C3484" s="14"/>
    </row>
    <row r="3485" spans="3:3" x14ac:dyDescent="0.3">
      <c r="C3485" s="14"/>
    </row>
    <row r="3486" spans="3:3" x14ac:dyDescent="0.3">
      <c r="C3486" s="14"/>
    </row>
    <row r="3487" spans="3:3" x14ac:dyDescent="0.3">
      <c r="C3487" s="14"/>
    </row>
    <row r="3488" spans="3:3" x14ac:dyDescent="0.3">
      <c r="C3488" s="14"/>
    </row>
    <row r="3489" spans="3:3" x14ac:dyDescent="0.3">
      <c r="C3489" s="14"/>
    </row>
    <row r="3490" spans="3:3" x14ac:dyDescent="0.3">
      <c r="C3490" s="14"/>
    </row>
    <row r="3491" spans="3:3" x14ac:dyDescent="0.3">
      <c r="C3491" s="14"/>
    </row>
    <row r="3492" spans="3:3" x14ac:dyDescent="0.3">
      <c r="C3492" s="14"/>
    </row>
    <row r="3493" spans="3:3" x14ac:dyDescent="0.3">
      <c r="C3493" s="14"/>
    </row>
    <row r="3494" spans="3:3" x14ac:dyDescent="0.3">
      <c r="C3494" s="14"/>
    </row>
    <row r="3495" spans="3:3" x14ac:dyDescent="0.3">
      <c r="C3495" s="14"/>
    </row>
    <row r="3496" spans="3:3" x14ac:dyDescent="0.3">
      <c r="C3496" s="14"/>
    </row>
    <row r="3497" spans="3:3" x14ac:dyDescent="0.3">
      <c r="C3497" s="14"/>
    </row>
    <row r="3498" spans="3:3" x14ac:dyDescent="0.3">
      <c r="C3498" s="14"/>
    </row>
    <row r="3499" spans="3:3" x14ac:dyDescent="0.3">
      <c r="C3499" s="14"/>
    </row>
    <row r="3500" spans="3:3" x14ac:dyDescent="0.3">
      <c r="C3500" s="14"/>
    </row>
    <row r="3501" spans="3:3" x14ac:dyDescent="0.3">
      <c r="C3501" s="14"/>
    </row>
    <row r="3502" spans="3:3" x14ac:dyDescent="0.3">
      <c r="C3502" s="14"/>
    </row>
    <row r="3503" spans="3:3" x14ac:dyDescent="0.3">
      <c r="C3503" s="14"/>
    </row>
    <row r="3504" spans="3:3" x14ac:dyDescent="0.3">
      <c r="C3504" s="14"/>
    </row>
    <row r="3505" spans="3:3" x14ac:dyDescent="0.3">
      <c r="C3505" s="14"/>
    </row>
    <row r="3506" spans="3:3" x14ac:dyDescent="0.3">
      <c r="C3506" s="14"/>
    </row>
    <row r="3507" spans="3:3" x14ac:dyDescent="0.3">
      <c r="C3507" s="14"/>
    </row>
    <row r="3508" spans="3:3" x14ac:dyDescent="0.3">
      <c r="C3508" s="14"/>
    </row>
    <row r="3509" spans="3:3" x14ac:dyDescent="0.3">
      <c r="C3509" s="14"/>
    </row>
    <row r="3510" spans="3:3" x14ac:dyDescent="0.3">
      <c r="C3510" s="14"/>
    </row>
    <row r="3511" spans="3:3" x14ac:dyDescent="0.3">
      <c r="C3511" s="14"/>
    </row>
    <row r="3512" spans="3:3" x14ac:dyDescent="0.3">
      <c r="C3512" s="14"/>
    </row>
    <row r="3513" spans="3:3" x14ac:dyDescent="0.3">
      <c r="C3513" s="14"/>
    </row>
    <row r="3514" spans="3:3" x14ac:dyDescent="0.3">
      <c r="C3514" s="14"/>
    </row>
    <row r="3515" spans="3:3" x14ac:dyDescent="0.3">
      <c r="C3515" s="14"/>
    </row>
    <row r="3516" spans="3:3" x14ac:dyDescent="0.3">
      <c r="C3516" s="14"/>
    </row>
    <row r="3517" spans="3:3" x14ac:dyDescent="0.3">
      <c r="C3517" s="14"/>
    </row>
    <row r="3518" spans="3:3" x14ac:dyDescent="0.3">
      <c r="C3518" s="14"/>
    </row>
    <row r="3519" spans="3:3" x14ac:dyDescent="0.3">
      <c r="C3519" s="14"/>
    </row>
    <row r="3520" spans="3:3" x14ac:dyDescent="0.3">
      <c r="C3520" s="14"/>
    </row>
    <row r="3521" spans="3:3" x14ac:dyDescent="0.3">
      <c r="C3521" s="14"/>
    </row>
    <row r="3522" spans="3:3" x14ac:dyDescent="0.3">
      <c r="C3522" s="14"/>
    </row>
    <row r="3523" spans="3:3" x14ac:dyDescent="0.3">
      <c r="C3523" s="14"/>
    </row>
    <row r="3524" spans="3:3" x14ac:dyDescent="0.3">
      <c r="C3524" s="14"/>
    </row>
    <row r="3525" spans="3:3" x14ac:dyDescent="0.3">
      <c r="C3525" s="14"/>
    </row>
    <row r="3526" spans="3:3" x14ac:dyDescent="0.3">
      <c r="C3526" s="14"/>
    </row>
    <row r="3527" spans="3:3" x14ac:dyDescent="0.3">
      <c r="C3527" s="14"/>
    </row>
    <row r="3528" spans="3:3" x14ac:dyDescent="0.3">
      <c r="C3528" s="14"/>
    </row>
    <row r="3529" spans="3:3" x14ac:dyDescent="0.3">
      <c r="C3529" s="14"/>
    </row>
    <row r="3530" spans="3:3" x14ac:dyDescent="0.3">
      <c r="C3530" s="14"/>
    </row>
    <row r="3531" spans="3:3" x14ac:dyDescent="0.3">
      <c r="C3531" s="14"/>
    </row>
    <row r="3532" spans="3:3" x14ac:dyDescent="0.3">
      <c r="C3532" s="14"/>
    </row>
    <row r="3533" spans="3:3" x14ac:dyDescent="0.3">
      <c r="C3533" s="14"/>
    </row>
    <row r="3534" spans="3:3" x14ac:dyDescent="0.3">
      <c r="C3534" s="14"/>
    </row>
    <row r="3535" spans="3:3" x14ac:dyDescent="0.3">
      <c r="C3535" s="14"/>
    </row>
    <row r="3536" spans="3:3" x14ac:dyDescent="0.3">
      <c r="C3536" s="14"/>
    </row>
    <row r="3537" spans="3:3" x14ac:dyDescent="0.3">
      <c r="C3537" s="14"/>
    </row>
    <row r="3538" spans="3:3" x14ac:dyDescent="0.3">
      <c r="C3538" s="14"/>
    </row>
    <row r="3539" spans="3:3" x14ac:dyDescent="0.3">
      <c r="C3539" s="14"/>
    </row>
    <row r="3540" spans="3:3" x14ac:dyDescent="0.3">
      <c r="C3540" s="14"/>
    </row>
    <row r="3541" spans="3:3" x14ac:dyDescent="0.3">
      <c r="C3541" s="14"/>
    </row>
    <row r="3542" spans="3:3" x14ac:dyDescent="0.3">
      <c r="C3542" s="14"/>
    </row>
    <row r="3543" spans="3:3" x14ac:dyDescent="0.3">
      <c r="C3543" s="14"/>
    </row>
    <row r="3544" spans="3:3" x14ac:dyDescent="0.3">
      <c r="C3544" s="14"/>
    </row>
    <row r="3545" spans="3:3" x14ac:dyDescent="0.3">
      <c r="C3545" s="14"/>
    </row>
    <row r="3546" spans="3:3" x14ac:dyDescent="0.3">
      <c r="C3546" s="14"/>
    </row>
    <row r="3547" spans="3:3" x14ac:dyDescent="0.3">
      <c r="C3547" s="14"/>
    </row>
    <row r="3548" spans="3:3" x14ac:dyDescent="0.3">
      <c r="C3548" s="14"/>
    </row>
    <row r="3549" spans="3:3" x14ac:dyDescent="0.3">
      <c r="C3549" s="14"/>
    </row>
    <row r="3550" spans="3:3" x14ac:dyDescent="0.3">
      <c r="C3550" s="14"/>
    </row>
    <row r="3551" spans="3:3" x14ac:dyDescent="0.3">
      <c r="C3551" s="14"/>
    </row>
    <row r="3552" spans="3:3" x14ac:dyDescent="0.3">
      <c r="C3552" s="14"/>
    </row>
    <row r="3553" spans="3:3" x14ac:dyDescent="0.3">
      <c r="C3553" s="14"/>
    </row>
    <row r="3554" spans="3:3" x14ac:dyDescent="0.3">
      <c r="C3554" s="14"/>
    </row>
    <row r="3555" spans="3:3" x14ac:dyDescent="0.3">
      <c r="C3555" s="14"/>
    </row>
    <row r="3556" spans="3:3" x14ac:dyDescent="0.3">
      <c r="C3556" s="14"/>
    </row>
    <row r="3557" spans="3:3" x14ac:dyDescent="0.3">
      <c r="C3557" s="14"/>
    </row>
    <row r="3558" spans="3:3" x14ac:dyDescent="0.3">
      <c r="C3558" s="14"/>
    </row>
    <row r="3559" spans="3:3" x14ac:dyDescent="0.3">
      <c r="C3559" s="14"/>
    </row>
    <row r="3560" spans="3:3" x14ac:dyDescent="0.3">
      <c r="C3560" s="14"/>
    </row>
    <row r="3561" spans="3:3" x14ac:dyDescent="0.3">
      <c r="C3561" s="14"/>
    </row>
    <row r="3562" spans="3:3" x14ac:dyDescent="0.3">
      <c r="C3562" s="14"/>
    </row>
    <row r="3563" spans="3:3" x14ac:dyDescent="0.3">
      <c r="C3563" s="14"/>
    </row>
    <row r="3564" spans="3:3" x14ac:dyDescent="0.3">
      <c r="C3564" s="14"/>
    </row>
    <row r="3565" spans="3:3" x14ac:dyDescent="0.3">
      <c r="C3565" s="14"/>
    </row>
    <row r="3566" spans="3:3" x14ac:dyDescent="0.3">
      <c r="C3566" s="14"/>
    </row>
    <row r="3567" spans="3:3" x14ac:dyDescent="0.3">
      <c r="C3567" s="14"/>
    </row>
    <row r="3568" spans="3:3" x14ac:dyDescent="0.3">
      <c r="C3568" s="14"/>
    </row>
    <row r="3569" spans="3:3" x14ac:dyDescent="0.3">
      <c r="C3569" s="14"/>
    </row>
    <row r="3570" spans="3:3" x14ac:dyDescent="0.3">
      <c r="C3570" s="14"/>
    </row>
    <row r="3571" spans="3:3" x14ac:dyDescent="0.3">
      <c r="C3571" s="14"/>
    </row>
    <row r="3572" spans="3:3" x14ac:dyDescent="0.3">
      <c r="C3572" s="14"/>
    </row>
    <row r="3573" spans="3:3" x14ac:dyDescent="0.3">
      <c r="C3573" s="14"/>
    </row>
    <row r="3574" spans="3:3" x14ac:dyDescent="0.3">
      <c r="C3574" s="14"/>
    </row>
    <row r="3575" spans="3:3" x14ac:dyDescent="0.3">
      <c r="C3575" s="14"/>
    </row>
    <row r="3576" spans="3:3" x14ac:dyDescent="0.3">
      <c r="C3576" s="14"/>
    </row>
    <row r="3577" spans="3:3" x14ac:dyDescent="0.3">
      <c r="C3577" s="14"/>
    </row>
    <row r="3578" spans="3:3" x14ac:dyDescent="0.3">
      <c r="C3578" s="14"/>
    </row>
    <row r="3579" spans="3:3" x14ac:dyDescent="0.3">
      <c r="C3579" s="14"/>
    </row>
    <row r="3580" spans="3:3" x14ac:dyDescent="0.3">
      <c r="C3580" s="14"/>
    </row>
    <row r="3581" spans="3:3" x14ac:dyDescent="0.3">
      <c r="C3581" s="14"/>
    </row>
    <row r="3582" spans="3:3" x14ac:dyDescent="0.3">
      <c r="C3582" s="14"/>
    </row>
    <row r="3583" spans="3:3" x14ac:dyDescent="0.3">
      <c r="C3583" s="14"/>
    </row>
    <row r="3584" spans="3:3" x14ac:dyDescent="0.3">
      <c r="C3584" s="14"/>
    </row>
    <row r="3585" spans="3:3" x14ac:dyDescent="0.3">
      <c r="C3585" s="14"/>
    </row>
    <row r="3586" spans="3:3" x14ac:dyDescent="0.3">
      <c r="C3586" s="14"/>
    </row>
    <row r="3587" spans="3:3" x14ac:dyDescent="0.3">
      <c r="C3587" s="14"/>
    </row>
    <row r="3588" spans="3:3" x14ac:dyDescent="0.3">
      <c r="C3588" s="14"/>
    </row>
    <row r="3589" spans="3:3" x14ac:dyDescent="0.3">
      <c r="C3589" s="14"/>
    </row>
    <row r="3590" spans="3:3" x14ac:dyDescent="0.3">
      <c r="C3590" s="14"/>
    </row>
    <row r="3591" spans="3:3" x14ac:dyDescent="0.3">
      <c r="C3591" s="14"/>
    </row>
    <row r="3592" spans="3:3" x14ac:dyDescent="0.3">
      <c r="C3592" s="14"/>
    </row>
    <row r="3593" spans="3:3" x14ac:dyDescent="0.3">
      <c r="C3593" s="14"/>
    </row>
    <row r="3594" spans="3:3" x14ac:dyDescent="0.3">
      <c r="C3594" s="14"/>
    </row>
    <row r="3595" spans="3:3" x14ac:dyDescent="0.3">
      <c r="C3595" s="14"/>
    </row>
    <row r="3596" spans="3:3" x14ac:dyDescent="0.3">
      <c r="C3596" s="14"/>
    </row>
    <row r="3597" spans="3:3" x14ac:dyDescent="0.3">
      <c r="C3597" s="14"/>
    </row>
    <row r="3598" spans="3:3" x14ac:dyDescent="0.3">
      <c r="C3598" s="14"/>
    </row>
    <row r="3599" spans="3:3" x14ac:dyDescent="0.3">
      <c r="C3599" s="14"/>
    </row>
    <row r="3600" spans="3:3" x14ac:dyDescent="0.3">
      <c r="C3600" s="14"/>
    </row>
    <row r="3601" spans="3:3" x14ac:dyDescent="0.3">
      <c r="C3601" s="14"/>
    </row>
    <row r="3602" spans="3:3" x14ac:dyDescent="0.3">
      <c r="C3602" s="14"/>
    </row>
    <row r="3603" spans="3:3" x14ac:dyDescent="0.3">
      <c r="C3603" s="14"/>
    </row>
    <row r="3604" spans="3:3" x14ac:dyDescent="0.3">
      <c r="C3604" s="14"/>
    </row>
    <row r="3605" spans="3:3" x14ac:dyDescent="0.3">
      <c r="C3605" s="14"/>
    </row>
    <row r="3606" spans="3:3" x14ac:dyDescent="0.3">
      <c r="C3606" s="14"/>
    </row>
    <row r="3607" spans="3:3" x14ac:dyDescent="0.3">
      <c r="C3607" s="14"/>
    </row>
    <row r="3608" spans="3:3" x14ac:dyDescent="0.3">
      <c r="C3608" s="14"/>
    </row>
    <row r="3609" spans="3:3" x14ac:dyDescent="0.3">
      <c r="C3609" s="14"/>
    </row>
    <row r="3610" spans="3:3" x14ac:dyDescent="0.3">
      <c r="C3610" s="14"/>
    </row>
    <row r="3611" spans="3:3" x14ac:dyDescent="0.3">
      <c r="C3611" s="14"/>
    </row>
    <row r="3612" spans="3:3" x14ac:dyDescent="0.3">
      <c r="C3612" s="14"/>
    </row>
    <row r="3613" spans="3:3" x14ac:dyDescent="0.3">
      <c r="C3613" s="14"/>
    </row>
    <row r="3614" spans="3:3" x14ac:dyDescent="0.3">
      <c r="C3614" s="14"/>
    </row>
    <row r="3615" spans="3:3" x14ac:dyDescent="0.3">
      <c r="C3615" s="14"/>
    </row>
    <row r="3616" spans="3:3" x14ac:dyDescent="0.3">
      <c r="C3616" s="14"/>
    </row>
    <row r="3617" spans="3:3" x14ac:dyDescent="0.3">
      <c r="C3617" s="14"/>
    </row>
    <row r="3618" spans="3:3" x14ac:dyDescent="0.3">
      <c r="C3618" s="14"/>
    </row>
    <row r="3619" spans="3:3" x14ac:dyDescent="0.3">
      <c r="C3619" s="14"/>
    </row>
    <row r="3620" spans="3:3" x14ac:dyDescent="0.3">
      <c r="C3620" s="14"/>
    </row>
    <row r="3621" spans="3:3" x14ac:dyDescent="0.3">
      <c r="C3621" s="14"/>
    </row>
    <row r="3622" spans="3:3" x14ac:dyDescent="0.3">
      <c r="C3622" s="14"/>
    </row>
    <row r="3623" spans="3:3" x14ac:dyDescent="0.3">
      <c r="C3623" s="14"/>
    </row>
    <row r="3624" spans="3:3" x14ac:dyDescent="0.3">
      <c r="C3624" s="14"/>
    </row>
    <row r="3625" spans="3:3" x14ac:dyDescent="0.3">
      <c r="C3625" s="14"/>
    </row>
    <row r="3626" spans="3:3" x14ac:dyDescent="0.3">
      <c r="C3626" s="14"/>
    </row>
    <row r="3627" spans="3:3" x14ac:dyDescent="0.3">
      <c r="C3627" s="14"/>
    </row>
    <row r="3628" spans="3:3" x14ac:dyDescent="0.3">
      <c r="C3628" s="14"/>
    </row>
    <row r="3629" spans="3:3" x14ac:dyDescent="0.3">
      <c r="C3629" s="14"/>
    </row>
    <row r="3630" spans="3:3" x14ac:dyDescent="0.3">
      <c r="C3630" s="14"/>
    </row>
    <row r="3631" spans="3:3" x14ac:dyDescent="0.3">
      <c r="C3631" s="14"/>
    </row>
    <row r="3632" spans="3:3" x14ac:dyDescent="0.3">
      <c r="C3632" s="14"/>
    </row>
    <row r="3633" spans="3:3" x14ac:dyDescent="0.3">
      <c r="C3633" s="14"/>
    </row>
    <row r="3634" spans="3:3" x14ac:dyDescent="0.3">
      <c r="C3634" s="14"/>
    </row>
    <row r="3635" spans="3:3" x14ac:dyDescent="0.3">
      <c r="C3635" s="14"/>
    </row>
    <row r="3636" spans="3:3" x14ac:dyDescent="0.3">
      <c r="C3636" s="14"/>
    </row>
    <row r="3637" spans="3:3" x14ac:dyDescent="0.3">
      <c r="C3637" s="14"/>
    </row>
    <row r="3638" spans="3:3" x14ac:dyDescent="0.3">
      <c r="C3638" s="14"/>
    </row>
    <row r="3639" spans="3:3" x14ac:dyDescent="0.3">
      <c r="C3639" s="14"/>
    </row>
    <row r="3640" spans="3:3" x14ac:dyDescent="0.3">
      <c r="C3640" s="14"/>
    </row>
    <row r="3641" spans="3:3" x14ac:dyDescent="0.3">
      <c r="C3641" s="14"/>
    </row>
    <row r="3642" spans="3:3" x14ac:dyDescent="0.3">
      <c r="C3642" s="14"/>
    </row>
    <row r="3643" spans="3:3" x14ac:dyDescent="0.3">
      <c r="C3643" s="14"/>
    </row>
    <row r="3644" spans="3:3" x14ac:dyDescent="0.3">
      <c r="C3644" s="14"/>
    </row>
    <row r="3645" spans="3:3" x14ac:dyDescent="0.3">
      <c r="C3645" s="14"/>
    </row>
    <row r="3646" spans="3:3" x14ac:dyDescent="0.3">
      <c r="C3646" s="14"/>
    </row>
    <row r="3647" spans="3:3" x14ac:dyDescent="0.3">
      <c r="C3647" s="14"/>
    </row>
    <row r="3648" spans="3:3" x14ac:dyDescent="0.3">
      <c r="C3648" s="14"/>
    </row>
    <row r="3649" spans="3:3" x14ac:dyDescent="0.3">
      <c r="C3649" s="14"/>
    </row>
    <row r="3650" spans="3:3" x14ac:dyDescent="0.3">
      <c r="C3650" s="14"/>
    </row>
    <row r="3651" spans="3:3" x14ac:dyDescent="0.3">
      <c r="C3651" s="14"/>
    </row>
    <row r="3652" spans="3:3" x14ac:dyDescent="0.3">
      <c r="C3652" s="14"/>
    </row>
    <row r="3653" spans="3:3" x14ac:dyDescent="0.3">
      <c r="C3653" s="14"/>
    </row>
    <row r="3654" spans="3:3" x14ac:dyDescent="0.3">
      <c r="C3654" s="14"/>
    </row>
    <row r="3655" spans="3:3" x14ac:dyDescent="0.3">
      <c r="C3655" s="14"/>
    </row>
    <row r="3656" spans="3:3" x14ac:dyDescent="0.3">
      <c r="C3656" s="14"/>
    </row>
    <row r="3657" spans="3:3" x14ac:dyDescent="0.3">
      <c r="C3657" s="14"/>
    </row>
    <row r="3658" spans="3:3" x14ac:dyDescent="0.3">
      <c r="C3658" s="14"/>
    </row>
    <row r="3659" spans="3:3" x14ac:dyDescent="0.3">
      <c r="C3659" s="14"/>
    </row>
    <row r="3660" spans="3:3" x14ac:dyDescent="0.3">
      <c r="C3660" s="14"/>
    </row>
    <row r="3661" spans="3:3" x14ac:dyDescent="0.3">
      <c r="C3661" s="14"/>
    </row>
    <row r="3662" spans="3:3" x14ac:dyDescent="0.3">
      <c r="C3662" s="14"/>
    </row>
    <row r="3663" spans="3:3" x14ac:dyDescent="0.3">
      <c r="C3663" s="14"/>
    </row>
    <row r="3664" spans="3:3" x14ac:dyDescent="0.3">
      <c r="C3664" s="14"/>
    </row>
    <row r="3665" spans="3:3" x14ac:dyDescent="0.3">
      <c r="C3665" s="14"/>
    </row>
    <row r="3666" spans="3:3" x14ac:dyDescent="0.3">
      <c r="C3666" s="14"/>
    </row>
    <row r="3667" spans="3:3" x14ac:dyDescent="0.3">
      <c r="C3667" s="14"/>
    </row>
    <row r="3668" spans="3:3" x14ac:dyDescent="0.3">
      <c r="C3668" s="14"/>
    </row>
    <row r="3669" spans="3:3" x14ac:dyDescent="0.3">
      <c r="C3669" s="14"/>
    </row>
    <row r="3670" spans="3:3" x14ac:dyDescent="0.3">
      <c r="C3670" s="14"/>
    </row>
    <row r="3671" spans="3:3" x14ac:dyDescent="0.3">
      <c r="C3671" s="14"/>
    </row>
    <row r="3672" spans="3:3" x14ac:dyDescent="0.3">
      <c r="C3672" s="14"/>
    </row>
    <row r="3673" spans="3:3" x14ac:dyDescent="0.3">
      <c r="C3673" s="14"/>
    </row>
    <row r="3674" spans="3:3" x14ac:dyDescent="0.3">
      <c r="C3674" s="14"/>
    </row>
    <row r="3675" spans="3:3" x14ac:dyDescent="0.3">
      <c r="C3675" s="14"/>
    </row>
    <row r="3676" spans="3:3" x14ac:dyDescent="0.3">
      <c r="C3676" s="14"/>
    </row>
    <row r="3677" spans="3:3" x14ac:dyDescent="0.3">
      <c r="C3677" s="14"/>
    </row>
    <row r="3678" spans="3:3" x14ac:dyDescent="0.3">
      <c r="C3678" s="14"/>
    </row>
    <row r="3679" spans="3:3" x14ac:dyDescent="0.3">
      <c r="C3679" s="14"/>
    </row>
    <row r="3680" spans="3:3" x14ac:dyDescent="0.3">
      <c r="C3680" s="14"/>
    </row>
    <row r="3681" spans="3:3" x14ac:dyDescent="0.3">
      <c r="C3681" s="14"/>
    </row>
    <row r="3682" spans="3:3" x14ac:dyDescent="0.3">
      <c r="C3682" s="14"/>
    </row>
    <row r="3683" spans="3:3" x14ac:dyDescent="0.3">
      <c r="C3683" s="14"/>
    </row>
    <row r="3684" spans="3:3" x14ac:dyDescent="0.3">
      <c r="C3684" s="14"/>
    </row>
    <row r="3685" spans="3:3" x14ac:dyDescent="0.3">
      <c r="C3685" s="14"/>
    </row>
    <row r="3686" spans="3:3" x14ac:dyDescent="0.3">
      <c r="C3686" s="14"/>
    </row>
    <row r="3687" spans="3:3" x14ac:dyDescent="0.3">
      <c r="C3687" s="14"/>
    </row>
    <row r="3688" spans="3:3" x14ac:dyDescent="0.3">
      <c r="C3688" s="14"/>
    </row>
    <row r="3689" spans="3:3" x14ac:dyDescent="0.3">
      <c r="C3689" s="14"/>
    </row>
    <row r="3690" spans="3:3" x14ac:dyDescent="0.3">
      <c r="C3690" s="14"/>
    </row>
    <row r="3691" spans="3:3" x14ac:dyDescent="0.3">
      <c r="C3691" s="14"/>
    </row>
    <row r="3692" spans="3:3" x14ac:dyDescent="0.3">
      <c r="C3692" s="14"/>
    </row>
    <row r="3693" spans="3:3" x14ac:dyDescent="0.3">
      <c r="C3693" s="14"/>
    </row>
    <row r="3694" spans="3:3" x14ac:dyDescent="0.3">
      <c r="C3694" s="14"/>
    </row>
    <row r="3695" spans="3:3" x14ac:dyDescent="0.3">
      <c r="C3695" s="14"/>
    </row>
    <row r="3696" spans="3:3" x14ac:dyDescent="0.3">
      <c r="C3696" s="14"/>
    </row>
    <row r="3697" spans="3:3" x14ac:dyDescent="0.3">
      <c r="C3697" s="14"/>
    </row>
    <row r="3698" spans="3:3" x14ac:dyDescent="0.3">
      <c r="C3698" s="14"/>
    </row>
    <row r="3699" spans="3:3" x14ac:dyDescent="0.3">
      <c r="C3699" s="14"/>
    </row>
    <row r="3700" spans="3:3" x14ac:dyDescent="0.3">
      <c r="C3700" s="14"/>
    </row>
    <row r="3701" spans="3:3" x14ac:dyDescent="0.3">
      <c r="C3701" s="14"/>
    </row>
    <row r="3702" spans="3:3" x14ac:dyDescent="0.3">
      <c r="C3702" s="14"/>
    </row>
    <row r="3703" spans="3:3" x14ac:dyDescent="0.3">
      <c r="C3703" s="14"/>
    </row>
    <row r="3704" spans="3:3" x14ac:dyDescent="0.3">
      <c r="C3704" s="14"/>
    </row>
    <row r="3705" spans="3:3" x14ac:dyDescent="0.3">
      <c r="C3705" s="14"/>
    </row>
    <row r="3706" spans="3:3" x14ac:dyDescent="0.3">
      <c r="C3706" s="14"/>
    </row>
    <row r="3707" spans="3:3" x14ac:dyDescent="0.3">
      <c r="C3707" s="14"/>
    </row>
    <row r="3708" spans="3:3" x14ac:dyDescent="0.3">
      <c r="C3708" s="14"/>
    </row>
    <row r="3709" spans="3:3" x14ac:dyDescent="0.3">
      <c r="C3709" s="14"/>
    </row>
    <row r="3710" spans="3:3" x14ac:dyDescent="0.3">
      <c r="C3710" s="14"/>
    </row>
    <row r="3711" spans="3:3" x14ac:dyDescent="0.3">
      <c r="C3711" s="14"/>
    </row>
    <row r="3712" spans="3:3" x14ac:dyDescent="0.3">
      <c r="C3712" s="14"/>
    </row>
    <row r="3713" spans="3:3" x14ac:dyDescent="0.3">
      <c r="C3713" s="14"/>
    </row>
    <row r="3714" spans="3:3" x14ac:dyDescent="0.3">
      <c r="C3714" s="14"/>
    </row>
    <row r="3715" spans="3:3" x14ac:dyDescent="0.3">
      <c r="C3715" s="14"/>
    </row>
    <row r="3716" spans="3:3" x14ac:dyDescent="0.3">
      <c r="C3716" s="14"/>
    </row>
    <row r="3717" spans="3:3" x14ac:dyDescent="0.3">
      <c r="C3717" s="14"/>
    </row>
    <row r="3718" spans="3:3" x14ac:dyDescent="0.3">
      <c r="C3718" s="14"/>
    </row>
    <row r="3719" spans="3:3" x14ac:dyDescent="0.3">
      <c r="C3719" s="14"/>
    </row>
    <row r="3720" spans="3:3" x14ac:dyDescent="0.3">
      <c r="C3720" s="14"/>
    </row>
    <row r="3721" spans="3:3" x14ac:dyDescent="0.3">
      <c r="C3721" s="14"/>
    </row>
    <row r="3722" spans="3:3" x14ac:dyDescent="0.3">
      <c r="C3722" s="14"/>
    </row>
    <row r="3723" spans="3:3" x14ac:dyDescent="0.3">
      <c r="C3723" s="14"/>
    </row>
    <row r="3724" spans="3:3" x14ac:dyDescent="0.3">
      <c r="C3724" s="14"/>
    </row>
    <row r="3725" spans="3:3" x14ac:dyDescent="0.3">
      <c r="C3725" s="14"/>
    </row>
    <row r="3726" spans="3:3" x14ac:dyDescent="0.3">
      <c r="C3726" s="14"/>
    </row>
    <row r="3727" spans="3:3" x14ac:dyDescent="0.3">
      <c r="C3727" s="14"/>
    </row>
    <row r="3728" spans="3:3" x14ac:dyDescent="0.3">
      <c r="C3728" s="14"/>
    </row>
    <row r="3729" spans="3:3" x14ac:dyDescent="0.3">
      <c r="C3729" s="14"/>
    </row>
    <row r="3730" spans="3:3" x14ac:dyDescent="0.3">
      <c r="C3730" s="14"/>
    </row>
    <row r="3731" spans="3:3" x14ac:dyDescent="0.3">
      <c r="C3731" s="14"/>
    </row>
    <row r="3732" spans="3:3" x14ac:dyDescent="0.3">
      <c r="C3732" s="14"/>
    </row>
    <row r="3733" spans="3:3" x14ac:dyDescent="0.3">
      <c r="C3733" s="14"/>
    </row>
    <row r="3734" spans="3:3" x14ac:dyDescent="0.3">
      <c r="C3734" s="14"/>
    </row>
    <row r="3735" spans="3:3" x14ac:dyDescent="0.3">
      <c r="C3735" s="14"/>
    </row>
    <row r="3736" spans="3:3" x14ac:dyDescent="0.3">
      <c r="C3736" s="14"/>
    </row>
    <row r="3737" spans="3:3" x14ac:dyDescent="0.3">
      <c r="C3737" s="14"/>
    </row>
    <row r="3738" spans="3:3" x14ac:dyDescent="0.3">
      <c r="C3738" s="14"/>
    </row>
    <row r="3739" spans="3:3" x14ac:dyDescent="0.3">
      <c r="C3739" s="14"/>
    </row>
    <row r="3740" spans="3:3" x14ac:dyDescent="0.3">
      <c r="C3740" s="14"/>
    </row>
    <row r="3741" spans="3:3" x14ac:dyDescent="0.3">
      <c r="C3741" s="14"/>
    </row>
    <row r="3742" spans="3:3" x14ac:dyDescent="0.3">
      <c r="C3742" s="14"/>
    </row>
    <row r="3743" spans="3:3" x14ac:dyDescent="0.3">
      <c r="C3743" s="14"/>
    </row>
    <row r="3744" spans="3:3" x14ac:dyDescent="0.3">
      <c r="C3744" s="14"/>
    </row>
    <row r="3745" spans="3:3" x14ac:dyDescent="0.3">
      <c r="C3745" s="14"/>
    </row>
    <row r="3746" spans="3:3" x14ac:dyDescent="0.3">
      <c r="C3746" s="14"/>
    </row>
    <row r="3747" spans="3:3" x14ac:dyDescent="0.3">
      <c r="C3747" s="14"/>
    </row>
    <row r="3748" spans="3:3" x14ac:dyDescent="0.3">
      <c r="C3748" s="14"/>
    </row>
    <row r="3749" spans="3:3" x14ac:dyDescent="0.3">
      <c r="C3749" s="14"/>
    </row>
    <row r="3750" spans="3:3" x14ac:dyDescent="0.3">
      <c r="C3750" s="14"/>
    </row>
    <row r="3751" spans="3:3" x14ac:dyDescent="0.3">
      <c r="C3751" s="14"/>
    </row>
    <row r="3752" spans="3:3" x14ac:dyDescent="0.3">
      <c r="C3752" s="14"/>
    </row>
    <row r="3753" spans="3:3" x14ac:dyDescent="0.3">
      <c r="C3753" s="14"/>
    </row>
    <row r="3754" spans="3:3" x14ac:dyDescent="0.3">
      <c r="C3754" s="14"/>
    </row>
    <row r="3755" spans="3:3" x14ac:dyDescent="0.3">
      <c r="C3755" s="14"/>
    </row>
    <row r="3756" spans="3:3" x14ac:dyDescent="0.3">
      <c r="C3756" s="14"/>
    </row>
    <row r="3757" spans="3:3" x14ac:dyDescent="0.3">
      <c r="C3757" s="14"/>
    </row>
    <row r="3758" spans="3:3" x14ac:dyDescent="0.3">
      <c r="C3758" s="14"/>
    </row>
    <row r="3759" spans="3:3" x14ac:dyDescent="0.3">
      <c r="C3759" s="14"/>
    </row>
    <row r="3760" spans="3:3" x14ac:dyDescent="0.3">
      <c r="C3760" s="14"/>
    </row>
    <row r="3761" spans="3:3" x14ac:dyDescent="0.3">
      <c r="C3761" s="14"/>
    </row>
    <row r="3762" spans="3:3" x14ac:dyDescent="0.3">
      <c r="C3762" s="14"/>
    </row>
    <row r="3763" spans="3:3" x14ac:dyDescent="0.3">
      <c r="C3763" s="14"/>
    </row>
    <row r="3764" spans="3:3" x14ac:dyDescent="0.3">
      <c r="C3764" s="14"/>
    </row>
    <row r="3765" spans="3:3" x14ac:dyDescent="0.3">
      <c r="C3765" s="14"/>
    </row>
    <row r="3766" spans="3:3" x14ac:dyDescent="0.3">
      <c r="C3766" s="14"/>
    </row>
    <row r="3767" spans="3:3" x14ac:dyDescent="0.3">
      <c r="C3767" s="14"/>
    </row>
    <row r="3768" spans="3:3" x14ac:dyDescent="0.3">
      <c r="C3768" s="14"/>
    </row>
    <row r="3769" spans="3:3" x14ac:dyDescent="0.3">
      <c r="C3769" s="14"/>
    </row>
    <row r="3770" spans="3:3" x14ac:dyDescent="0.3">
      <c r="C3770" s="14"/>
    </row>
    <row r="3771" spans="3:3" x14ac:dyDescent="0.3">
      <c r="C3771" s="14"/>
    </row>
    <row r="3772" spans="3:3" x14ac:dyDescent="0.3">
      <c r="C3772" s="14"/>
    </row>
    <row r="3773" spans="3:3" x14ac:dyDescent="0.3">
      <c r="C3773" s="14"/>
    </row>
    <row r="3774" spans="3:3" x14ac:dyDescent="0.3">
      <c r="C3774" s="14"/>
    </row>
    <row r="3775" spans="3:3" x14ac:dyDescent="0.3">
      <c r="C3775" s="14"/>
    </row>
    <row r="3776" spans="3:3" x14ac:dyDescent="0.3">
      <c r="C3776" s="14"/>
    </row>
    <row r="3777" spans="3:3" x14ac:dyDescent="0.3">
      <c r="C3777" s="14"/>
    </row>
    <row r="3778" spans="3:3" x14ac:dyDescent="0.3">
      <c r="C3778" s="14"/>
    </row>
    <row r="3779" spans="3:3" x14ac:dyDescent="0.3">
      <c r="C3779" s="14"/>
    </row>
    <row r="3780" spans="3:3" x14ac:dyDescent="0.3">
      <c r="C3780" s="14"/>
    </row>
    <row r="3781" spans="3:3" x14ac:dyDescent="0.3">
      <c r="C3781" s="14"/>
    </row>
    <row r="3782" spans="3:3" x14ac:dyDescent="0.3">
      <c r="C3782" s="14"/>
    </row>
    <row r="3783" spans="3:3" x14ac:dyDescent="0.3">
      <c r="C3783" s="14"/>
    </row>
    <row r="3784" spans="3:3" x14ac:dyDescent="0.3">
      <c r="C3784" s="14"/>
    </row>
    <row r="3785" spans="3:3" x14ac:dyDescent="0.3">
      <c r="C3785" s="14"/>
    </row>
    <row r="3786" spans="3:3" x14ac:dyDescent="0.3">
      <c r="C3786" s="14"/>
    </row>
    <row r="3787" spans="3:3" x14ac:dyDescent="0.3">
      <c r="C3787" s="14"/>
    </row>
    <row r="3788" spans="3:3" x14ac:dyDescent="0.3">
      <c r="C3788" s="14"/>
    </row>
    <row r="3789" spans="3:3" x14ac:dyDescent="0.3">
      <c r="C3789" s="14"/>
    </row>
    <row r="3790" spans="3:3" x14ac:dyDescent="0.3">
      <c r="C3790" s="14"/>
    </row>
    <row r="3791" spans="3:3" x14ac:dyDescent="0.3">
      <c r="C3791" s="14"/>
    </row>
    <row r="3792" spans="3:3" x14ac:dyDescent="0.3">
      <c r="C3792" s="14"/>
    </row>
    <row r="3793" spans="3:3" x14ac:dyDescent="0.3">
      <c r="C3793" s="14"/>
    </row>
    <row r="3794" spans="3:3" x14ac:dyDescent="0.3">
      <c r="C3794" s="14"/>
    </row>
    <row r="3795" spans="3:3" x14ac:dyDescent="0.3">
      <c r="C3795" s="14"/>
    </row>
    <row r="3796" spans="3:3" x14ac:dyDescent="0.3">
      <c r="C3796" s="14"/>
    </row>
    <row r="3797" spans="3:3" x14ac:dyDescent="0.3">
      <c r="C3797" s="14"/>
    </row>
    <row r="3798" spans="3:3" x14ac:dyDescent="0.3">
      <c r="C3798" s="14"/>
    </row>
    <row r="3799" spans="3:3" x14ac:dyDescent="0.3">
      <c r="C3799" s="14"/>
    </row>
    <row r="3800" spans="3:3" x14ac:dyDescent="0.3">
      <c r="C3800" s="14"/>
    </row>
    <row r="3801" spans="3:3" x14ac:dyDescent="0.3">
      <c r="C3801" s="14"/>
    </row>
    <row r="3802" spans="3:3" x14ac:dyDescent="0.3">
      <c r="C3802" s="14"/>
    </row>
    <row r="3803" spans="3:3" x14ac:dyDescent="0.3">
      <c r="C3803" s="14"/>
    </row>
    <row r="3804" spans="3:3" x14ac:dyDescent="0.3">
      <c r="C3804" s="14"/>
    </row>
    <row r="3805" spans="3:3" x14ac:dyDescent="0.3">
      <c r="C3805" s="14"/>
    </row>
    <row r="3806" spans="3:3" x14ac:dyDescent="0.3">
      <c r="C3806" s="14"/>
    </row>
    <row r="3807" spans="3:3" x14ac:dyDescent="0.3">
      <c r="C3807" s="14"/>
    </row>
    <row r="3808" spans="3:3" x14ac:dyDescent="0.3">
      <c r="C3808" s="14"/>
    </row>
    <row r="3809" spans="3:3" x14ac:dyDescent="0.3">
      <c r="C3809" s="14"/>
    </row>
    <row r="3810" spans="3:3" x14ac:dyDescent="0.3">
      <c r="C3810" s="14"/>
    </row>
    <row r="3811" spans="3:3" x14ac:dyDescent="0.3">
      <c r="C3811" s="14"/>
    </row>
    <row r="3812" spans="3:3" x14ac:dyDescent="0.3">
      <c r="C3812" s="14"/>
    </row>
    <row r="3813" spans="3:3" x14ac:dyDescent="0.3">
      <c r="C3813" s="14"/>
    </row>
    <row r="3814" spans="3:3" x14ac:dyDescent="0.3">
      <c r="C3814" s="14"/>
    </row>
    <row r="3815" spans="3:3" x14ac:dyDescent="0.3">
      <c r="C3815" s="14"/>
    </row>
    <row r="3816" spans="3:3" x14ac:dyDescent="0.3">
      <c r="C3816" s="14"/>
    </row>
    <row r="3817" spans="3:3" x14ac:dyDescent="0.3">
      <c r="C3817" s="14"/>
    </row>
    <row r="3818" spans="3:3" x14ac:dyDescent="0.3">
      <c r="C3818" s="14"/>
    </row>
    <row r="3819" spans="3:3" x14ac:dyDescent="0.3">
      <c r="C3819" s="14"/>
    </row>
    <row r="3820" spans="3:3" x14ac:dyDescent="0.3">
      <c r="C3820" s="14"/>
    </row>
    <row r="3821" spans="3:3" x14ac:dyDescent="0.3">
      <c r="C3821" s="14"/>
    </row>
    <row r="3822" spans="3:3" x14ac:dyDescent="0.3">
      <c r="C3822" s="14"/>
    </row>
    <row r="3823" spans="3:3" x14ac:dyDescent="0.3">
      <c r="C3823" s="14"/>
    </row>
    <row r="3824" spans="3:3" x14ac:dyDescent="0.3">
      <c r="C3824" s="14"/>
    </row>
    <row r="3825" spans="3:3" x14ac:dyDescent="0.3">
      <c r="C3825" s="14"/>
    </row>
    <row r="3826" spans="3:3" x14ac:dyDescent="0.3">
      <c r="C3826" s="14"/>
    </row>
    <row r="3827" spans="3:3" x14ac:dyDescent="0.3">
      <c r="C3827" s="14"/>
    </row>
    <row r="3828" spans="3:3" x14ac:dyDescent="0.3">
      <c r="C3828" s="14"/>
    </row>
    <row r="3829" spans="3:3" x14ac:dyDescent="0.3">
      <c r="C3829" s="14"/>
    </row>
    <row r="3830" spans="3:3" x14ac:dyDescent="0.3">
      <c r="C3830" s="14"/>
    </row>
    <row r="3831" spans="3:3" x14ac:dyDescent="0.3">
      <c r="C3831" s="14"/>
    </row>
    <row r="3832" spans="3:3" x14ac:dyDescent="0.3">
      <c r="C3832" s="14"/>
    </row>
    <row r="3833" spans="3:3" x14ac:dyDescent="0.3">
      <c r="C3833" s="14"/>
    </row>
    <row r="3834" spans="3:3" x14ac:dyDescent="0.3">
      <c r="C3834" s="14"/>
    </row>
    <row r="3835" spans="3:3" x14ac:dyDescent="0.3">
      <c r="C3835" s="14"/>
    </row>
    <row r="3836" spans="3:3" x14ac:dyDescent="0.3">
      <c r="C3836" s="14"/>
    </row>
    <row r="3837" spans="3:3" x14ac:dyDescent="0.3">
      <c r="C3837" s="14"/>
    </row>
    <row r="3838" spans="3:3" x14ac:dyDescent="0.3">
      <c r="C3838" s="14"/>
    </row>
    <row r="3839" spans="3:3" x14ac:dyDescent="0.3">
      <c r="C3839" s="14"/>
    </row>
    <row r="3840" spans="3:3" x14ac:dyDescent="0.3">
      <c r="C3840" s="14"/>
    </row>
    <row r="3841" spans="3:3" x14ac:dyDescent="0.3">
      <c r="C3841" s="14"/>
    </row>
    <row r="3842" spans="3:3" x14ac:dyDescent="0.3">
      <c r="C3842" s="14"/>
    </row>
    <row r="3843" spans="3:3" x14ac:dyDescent="0.3">
      <c r="C3843" s="14"/>
    </row>
    <row r="3844" spans="3:3" x14ac:dyDescent="0.3">
      <c r="C3844" s="14"/>
    </row>
    <row r="3845" spans="3:3" x14ac:dyDescent="0.3">
      <c r="C3845" s="14"/>
    </row>
    <row r="3846" spans="3:3" x14ac:dyDescent="0.3">
      <c r="C3846" s="14"/>
    </row>
    <row r="3847" spans="3:3" x14ac:dyDescent="0.3">
      <c r="C3847" s="14"/>
    </row>
    <row r="3848" spans="3:3" x14ac:dyDescent="0.3">
      <c r="C3848" s="14"/>
    </row>
    <row r="3849" spans="3:3" x14ac:dyDescent="0.3">
      <c r="C3849" s="14"/>
    </row>
    <row r="3850" spans="3:3" x14ac:dyDescent="0.3">
      <c r="C3850" s="14"/>
    </row>
    <row r="3851" spans="3:3" x14ac:dyDescent="0.3">
      <c r="C3851" s="14"/>
    </row>
    <row r="3852" spans="3:3" x14ac:dyDescent="0.3">
      <c r="C3852" s="14"/>
    </row>
    <row r="3853" spans="3:3" x14ac:dyDescent="0.3">
      <c r="C3853" s="14"/>
    </row>
    <row r="3854" spans="3:3" x14ac:dyDescent="0.3">
      <c r="C3854" s="14"/>
    </row>
    <row r="3855" spans="3:3" x14ac:dyDescent="0.3">
      <c r="C3855" s="14"/>
    </row>
    <row r="3856" spans="3:3" x14ac:dyDescent="0.3">
      <c r="C3856" s="14"/>
    </row>
    <row r="3857" spans="3:3" x14ac:dyDescent="0.3">
      <c r="C3857" s="14"/>
    </row>
    <row r="3858" spans="3:3" x14ac:dyDescent="0.3">
      <c r="C3858" s="14"/>
    </row>
    <row r="3859" spans="3:3" x14ac:dyDescent="0.3">
      <c r="C3859" s="14"/>
    </row>
    <row r="3860" spans="3:3" x14ac:dyDescent="0.3">
      <c r="C3860" s="14"/>
    </row>
    <row r="3861" spans="3:3" x14ac:dyDescent="0.3">
      <c r="C3861" s="14"/>
    </row>
    <row r="3862" spans="3:3" x14ac:dyDescent="0.3">
      <c r="C3862" s="14"/>
    </row>
    <row r="3863" spans="3:3" x14ac:dyDescent="0.3">
      <c r="C3863" s="14"/>
    </row>
    <row r="3864" spans="3:3" x14ac:dyDescent="0.3">
      <c r="C3864" s="14"/>
    </row>
    <row r="3865" spans="3:3" x14ac:dyDescent="0.3">
      <c r="C3865" s="14"/>
    </row>
    <row r="3866" spans="3:3" x14ac:dyDescent="0.3">
      <c r="C3866" s="14"/>
    </row>
    <row r="3867" spans="3:3" x14ac:dyDescent="0.3">
      <c r="C3867" s="14"/>
    </row>
    <row r="3868" spans="3:3" x14ac:dyDescent="0.3">
      <c r="C3868" s="14"/>
    </row>
    <row r="3869" spans="3:3" x14ac:dyDescent="0.3">
      <c r="C3869" s="14"/>
    </row>
    <row r="3870" spans="3:3" x14ac:dyDescent="0.3">
      <c r="C3870" s="14"/>
    </row>
    <row r="3871" spans="3:3" x14ac:dyDescent="0.3">
      <c r="C3871" s="14"/>
    </row>
    <row r="3872" spans="3:3" x14ac:dyDescent="0.3">
      <c r="C3872" s="14"/>
    </row>
    <row r="3873" spans="3:3" x14ac:dyDescent="0.3">
      <c r="C3873" s="14"/>
    </row>
    <row r="3874" spans="3:3" x14ac:dyDescent="0.3">
      <c r="C3874" s="14"/>
    </row>
    <row r="3875" spans="3:3" x14ac:dyDescent="0.3">
      <c r="C3875" s="14"/>
    </row>
    <row r="3876" spans="3:3" x14ac:dyDescent="0.3">
      <c r="C3876" s="14"/>
    </row>
    <row r="3877" spans="3:3" x14ac:dyDescent="0.3">
      <c r="C3877" s="14"/>
    </row>
    <row r="3878" spans="3:3" x14ac:dyDescent="0.3">
      <c r="C3878" s="14"/>
    </row>
    <row r="3879" spans="3:3" x14ac:dyDescent="0.3">
      <c r="C3879" s="14"/>
    </row>
    <row r="3880" spans="3:3" x14ac:dyDescent="0.3">
      <c r="C3880" s="14"/>
    </row>
    <row r="3881" spans="3:3" x14ac:dyDescent="0.3">
      <c r="C3881" s="14"/>
    </row>
    <row r="3882" spans="3:3" x14ac:dyDescent="0.3">
      <c r="C3882" s="14"/>
    </row>
    <row r="3883" spans="3:3" x14ac:dyDescent="0.3">
      <c r="C3883" s="14"/>
    </row>
    <row r="3884" spans="3:3" x14ac:dyDescent="0.3">
      <c r="C3884" s="14"/>
    </row>
    <row r="3885" spans="3:3" x14ac:dyDescent="0.3">
      <c r="C3885" s="14"/>
    </row>
    <row r="3886" spans="3:3" x14ac:dyDescent="0.3">
      <c r="C3886" s="14"/>
    </row>
    <row r="3887" spans="3:3" x14ac:dyDescent="0.3">
      <c r="C3887" s="14"/>
    </row>
    <row r="3888" spans="3:3" x14ac:dyDescent="0.3">
      <c r="C3888" s="14"/>
    </row>
    <row r="3889" spans="3:3" x14ac:dyDescent="0.3">
      <c r="C3889" s="14"/>
    </row>
    <row r="3890" spans="3:3" x14ac:dyDescent="0.3">
      <c r="C3890" s="14"/>
    </row>
    <row r="3891" spans="3:3" x14ac:dyDescent="0.3">
      <c r="C3891" s="14"/>
    </row>
    <row r="3892" spans="3:3" x14ac:dyDescent="0.3">
      <c r="C3892" s="14"/>
    </row>
    <row r="3893" spans="3:3" x14ac:dyDescent="0.3">
      <c r="C3893" s="14"/>
    </row>
    <row r="3894" spans="3:3" x14ac:dyDescent="0.3">
      <c r="C3894" s="14"/>
    </row>
    <row r="3895" spans="3:3" x14ac:dyDescent="0.3">
      <c r="C3895" s="14"/>
    </row>
    <row r="3896" spans="3:3" x14ac:dyDescent="0.3">
      <c r="C3896" s="14"/>
    </row>
    <row r="3897" spans="3:3" x14ac:dyDescent="0.3">
      <c r="C3897" s="14"/>
    </row>
    <row r="3898" spans="3:3" x14ac:dyDescent="0.3">
      <c r="C3898" s="14"/>
    </row>
    <row r="3899" spans="3:3" x14ac:dyDescent="0.3">
      <c r="C3899" s="14"/>
    </row>
    <row r="3900" spans="3:3" x14ac:dyDescent="0.3">
      <c r="C3900" s="14"/>
    </row>
    <row r="3901" spans="3:3" x14ac:dyDescent="0.3">
      <c r="C3901" s="14"/>
    </row>
    <row r="3902" spans="3:3" x14ac:dyDescent="0.3">
      <c r="C3902" s="14"/>
    </row>
    <row r="3903" spans="3:3" x14ac:dyDescent="0.3">
      <c r="C3903" s="14"/>
    </row>
    <row r="3904" spans="3:3" x14ac:dyDescent="0.3">
      <c r="C3904" s="14"/>
    </row>
    <row r="3905" spans="3:3" x14ac:dyDescent="0.3">
      <c r="C3905" s="14"/>
    </row>
    <row r="3906" spans="3:3" x14ac:dyDescent="0.3">
      <c r="C3906" s="14"/>
    </row>
    <row r="3907" spans="3:3" x14ac:dyDescent="0.3">
      <c r="C3907" s="14"/>
    </row>
    <row r="3908" spans="3:3" x14ac:dyDescent="0.3">
      <c r="C3908" s="14"/>
    </row>
    <row r="3909" spans="3:3" x14ac:dyDescent="0.3">
      <c r="C3909" s="14"/>
    </row>
    <row r="3910" spans="3:3" x14ac:dyDescent="0.3">
      <c r="C3910" s="14"/>
    </row>
    <row r="3911" spans="3:3" x14ac:dyDescent="0.3">
      <c r="C3911" s="14"/>
    </row>
    <row r="3912" spans="3:3" x14ac:dyDescent="0.3">
      <c r="C3912" s="14"/>
    </row>
    <row r="3913" spans="3:3" x14ac:dyDescent="0.3">
      <c r="C3913" s="14"/>
    </row>
    <row r="3914" spans="3:3" x14ac:dyDescent="0.3">
      <c r="C3914" s="14"/>
    </row>
    <row r="3915" spans="3:3" x14ac:dyDescent="0.3">
      <c r="C3915" s="14"/>
    </row>
    <row r="3916" spans="3:3" x14ac:dyDescent="0.3">
      <c r="C3916" s="14"/>
    </row>
    <row r="3917" spans="3:3" x14ac:dyDescent="0.3">
      <c r="C3917" s="14"/>
    </row>
    <row r="3918" spans="3:3" x14ac:dyDescent="0.3">
      <c r="C3918" s="14"/>
    </row>
    <row r="3919" spans="3:3" x14ac:dyDescent="0.3">
      <c r="C3919" s="14"/>
    </row>
    <row r="3920" spans="3:3" x14ac:dyDescent="0.3">
      <c r="C3920" s="14"/>
    </row>
    <row r="3921" spans="3:3" x14ac:dyDescent="0.3">
      <c r="C3921" s="14"/>
    </row>
    <row r="3922" spans="3:3" x14ac:dyDescent="0.3">
      <c r="C3922" s="14"/>
    </row>
    <row r="3923" spans="3:3" x14ac:dyDescent="0.3">
      <c r="C3923" s="14"/>
    </row>
    <row r="3924" spans="3:3" x14ac:dyDescent="0.3">
      <c r="C3924" s="14"/>
    </row>
    <row r="3925" spans="3:3" x14ac:dyDescent="0.3">
      <c r="C3925" s="14"/>
    </row>
    <row r="3926" spans="3:3" x14ac:dyDescent="0.3">
      <c r="C3926" s="14"/>
    </row>
    <row r="3927" spans="3:3" x14ac:dyDescent="0.3">
      <c r="C3927" s="14"/>
    </row>
    <row r="3928" spans="3:3" x14ac:dyDescent="0.3">
      <c r="C3928" s="14"/>
    </row>
    <row r="3929" spans="3:3" x14ac:dyDescent="0.3">
      <c r="C3929" s="14"/>
    </row>
    <row r="3930" spans="3:3" x14ac:dyDescent="0.3">
      <c r="C3930" s="14"/>
    </row>
    <row r="3931" spans="3:3" x14ac:dyDescent="0.3">
      <c r="C3931" s="14"/>
    </row>
    <row r="3932" spans="3:3" x14ac:dyDescent="0.3">
      <c r="C3932" s="14"/>
    </row>
    <row r="3933" spans="3:3" x14ac:dyDescent="0.3">
      <c r="C3933" s="14"/>
    </row>
    <row r="3934" spans="3:3" x14ac:dyDescent="0.3">
      <c r="C3934" s="14"/>
    </row>
    <row r="3935" spans="3:3" x14ac:dyDescent="0.3">
      <c r="C3935" s="14"/>
    </row>
    <row r="3936" spans="3:3" x14ac:dyDescent="0.3">
      <c r="C3936" s="14"/>
    </row>
    <row r="3937" spans="3:3" x14ac:dyDescent="0.3">
      <c r="C3937" s="14"/>
    </row>
    <row r="3938" spans="3:3" x14ac:dyDescent="0.3">
      <c r="C3938" s="14"/>
    </row>
    <row r="3939" spans="3:3" x14ac:dyDescent="0.3">
      <c r="C3939" s="14"/>
    </row>
    <row r="3940" spans="3:3" x14ac:dyDescent="0.3">
      <c r="C3940" s="14"/>
    </row>
    <row r="3941" spans="3:3" x14ac:dyDescent="0.3">
      <c r="C3941" s="14"/>
    </row>
    <row r="3942" spans="3:3" x14ac:dyDescent="0.3">
      <c r="C3942" s="14"/>
    </row>
    <row r="3943" spans="3:3" x14ac:dyDescent="0.3">
      <c r="C3943" s="14"/>
    </row>
    <row r="3944" spans="3:3" x14ac:dyDescent="0.3">
      <c r="C3944" s="14"/>
    </row>
    <row r="3945" spans="3:3" x14ac:dyDescent="0.3">
      <c r="C3945" s="14"/>
    </row>
    <row r="3946" spans="3:3" x14ac:dyDescent="0.3">
      <c r="C3946" s="14"/>
    </row>
    <row r="3947" spans="3:3" x14ac:dyDescent="0.3">
      <c r="C3947" s="14"/>
    </row>
    <row r="3948" spans="3:3" x14ac:dyDescent="0.3">
      <c r="C3948" s="14"/>
    </row>
    <row r="3949" spans="3:3" x14ac:dyDescent="0.3">
      <c r="C3949" s="14"/>
    </row>
    <row r="3950" spans="3:3" x14ac:dyDescent="0.3">
      <c r="C3950" s="14"/>
    </row>
    <row r="3951" spans="3:3" x14ac:dyDescent="0.3">
      <c r="C3951" s="14"/>
    </row>
    <row r="3952" spans="3:3" x14ac:dyDescent="0.3">
      <c r="C3952" s="14"/>
    </row>
    <row r="3953" spans="3:3" x14ac:dyDescent="0.3">
      <c r="C3953" s="14"/>
    </row>
    <row r="3954" spans="3:3" x14ac:dyDescent="0.3">
      <c r="C3954" s="14"/>
    </row>
    <row r="3955" spans="3:3" x14ac:dyDescent="0.3">
      <c r="C3955" s="14"/>
    </row>
    <row r="3956" spans="3:3" x14ac:dyDescent="0.3">
      <c r="C3956" s="14"/>
    </row>
    <row r="3957" spans="3:3" x14ac:dyDescent="0.3">
      <c r="C3957" s="14"/>
    </row>
    <row r="3958" spans="3:3" x14ac:dyDescent="0.3">
      <c r="C3958" s="14"/>
    </row>
    <row r="3959" spans="3:3" x14ac:dyDescent="0.3">
      <c r="C3959" s="14"/>
    </row>
    <row r="3960" spans="3:3" x14ac:dyDescent="0.3">
      <c r="C3960" s="14"/>
    </row>
    <row r="3961" spans="3:3" x14ac:dyDescent="0.3">
      <c r="C3961" s="14"/>
    </row>
    <row r="3962" spans="3:3" x14ac:dyDescent="0.3">
      <c r="C3962" s="14"/>
    </row>
    <row r="3963" spans="3:3" x14ac:dyDescent="0.3">
      <c r="C3963" s="14"/>
    </row>
    <row r="3964" spans="3:3" x14ac:dyDescent="0.3">
      <c r="C3964" s="14"/>
    </row>
    <row r="3965" spans="3:3" x14ac:dyDescent="0.3">
      <c r="C3965" s="14"/>
    </row>
    <row r="3966" spans="3:3" x14ac:dyDescent="0.3">
      <c r="C3966" s="14"/>
    </row>
    <row r="3967" spans="3:3" x14ac:dyDescent="0.3">
      <c r="C3967" s="14"/>
    </row>
    <row r="3968" spans="3:3" x14ac:dyDescent="0.3">
      <c r="C3968" s="14"/>
    </row>
    <row r="3969" spans="3:3" x14ac:dyDescent="0.3">
      <c r="C3969" s="14"/>
    </row>
    <row r="3970" spans="3:3" x14ac:dyDescent="0.3">
      <c r="C3970" s="14"/>
    </row>
    <row r="3971" spans="3:3" x14ac:dyDescent="0.3">
      <c r="C3971" s="14"/>
    </row>
    <row r="3972" spans="3:3" x14ac:dyDescent="0.3">
      <c r="C3972" s="14"/>
    </row>
    <row r="3973" spans="3:3" x14ac:dyDescent="0.3">
      <c r="C3973" s="14"/>
    </row>
    <row r="3974" spans="3:3" x14ac:dyDescent="0.3">
      <c r="C3974" s="14"/>
    </row>
    <row r="3975" spans="3:3" x14ac:dyDescent="0.3">
      <c r="C3975" s="14"/>
    </row>
    <row r="3976" spans="3:3" x14ac:dyDescent="0.3">
      <c r="C3976" s="14"/>
    </row>
    <row r="3977" spans="3:3" x14ac:dyDescent="0.3">
      <c r="C3977" s="14"/>
    </row>
    <row r="3978" spans="3:3" x14ac:dyDescent="0.3">
      <c r="C3978" s="14"/>
    </row>
    <row r="3979" spans="3:3" x14ac:dyDescent="0.3">
      <c r="C3979" s="14"/>
    </row>
    <row r="3980" spans="3:3" x14ac:dyDescent="0.3">
      <c r="C3980" s="14"/>
    </row>
    <row r="3981" spans="3:3" x14ac:dyDescent="0.3">
      <c r="C3981" s="14"/>
    </row>
    <row r="3982" spans="3:3" x14ac:dyDescent="0.3">
      <c r="C3982" s="14"/>
    </row>
    <row r="3983" spans="3:3" x14ac:dyDescent="0.3">
      <c r="C3983" s="14"/>
    </row>
    <row r="3984" spans="3:3" x14ac:dyDescent="0.3">
      <c r="C3984" s="14"/>
    </row>
    <row r="3985" spans="3:3" x14ac:dyDescent="0.3">
      <c r="C3985" s="14"/>
    </row>
    <row r="3986" spans="3:3" x14ac:dyDescent="0.3">
      <c r="C3986" s="14"/>
    </row>
    <row r="3987" spans="3:3" x14ac:dyDescent="0.3">
      <c r="C3987" s="14"/>
    </row>
    <row r="3988" spans="3:3" x14ac:dyDescent="0.3">
      <c r="C3988" s="14"/>
    </row>
    <row r="3989" spans="3:3" x14ac:dyDescent="0.3">
      <c r="C3989" s="14"/>
    </row>
    <row r="3990" spans="3:3" x14ac:dyDescent="0.3">
      <c r="C3990" s="14"/>
    </row>
    <row r="3991" spans="3:3" x14ac:dyDescent="0.3">
      <c r="C3991" s="14"/>
    </row>
    <row r="3992" spans="3:3" x14ac:dyDescent="0.3">
      <c r="C3992" s="14"/>
    </row>
    <row r="3993" spans="3:3" x14ac:dyDescent="0.3">
      <c r="C3993" s="14"/>
    </row>
    <row r="3994" spans="3:3" x14ac:dyDescent="0.3">
      <c r="C3994" s="14"/>
    </row>
    <row r="3995" spans="3:3" x14ac:dyDescent="0.3">
      <c r="C3995" s="14"/>
    </row>
    <row r="3996" spans="3:3" x14ac:dyDescent="0.3">
      <c r="C3996" s="14"/>
    </row>
    <row r="3997" spans="3:3" x14ac:dyDescent="0.3">
      <c r="C3997" s="14"/>
    </row>
    <row r="3998" spans="3:3" x14ac:dyDescent="0.3">
      <c r="C3998" s="14"/>
    </row>
    <row r="3999" spans="3:3" x14ac:dyDescent="0.3">
      <c r="C3999" s="14"/>
    </row>
    <row r="4000" spans="3:3" x14ac:dyDescent="0.3">
      <c r="C4000" s="14"/>
    </row>
    <row r="4001" spans="3:3" x14ac:dyDescent="0.3">
      <c r="C4001" s="14"/>
    </row>
    <row r="4002" spans="3:3" x14ac:dyDescent="0.3">
      <c r="C4002" s="14"/>
    </row>
    <row r="4003" spans="3:3" x14ac:dyDescent="0.3">
      <c r="C4003" s="14"/>
    </row>
    <row r="4004" spans="3:3" x14ac:dyDescent="0.3">
      <c r="C4004" s="14"/>
    </row>
    <row r="4005" spans="3:3" x14ac:dyDescent="0.3">
      <c r="C4005" s="14"/>
    </row>
    <row r="4006" spans="3:3" x14ac:dyDescent="0.3">
      <c r="C4006" s="14"/>
    </row>
    <row r="4007" spans="3:3" x14ac:dyDescent="0.3">
      <c r="C4007" s="14"/>
    </row>
    <row r="4008" spans="3:3" x14ac:dyDescent="0.3">
      <c r="C4008" s="14"/>
    </row>
    <row r="4009" spans="3:3" x14ac:dyDescent="0.3">
      <c r="C4009" s="14"/>
    </row>
    <row r="4010" spans="3:3" x14ac:dyDescent="0.3">
      <c r="C4010" s="14"/>
    </row>
    <row r="4011" spans="3:3" x14ac:dyDescent="0.3">
      <c r="C4011" s="14"/>
    </row>
    <row r="4012" spans="3:3" x14ac:dyDescent="0.3">
      <c r="C4012" s="14"/>
    </row>
    <row r="4013" spans="3:3" x14ac:dyDescent="0.3">
      <c r="C4013" s="14"/>
    </row>
    <row r="4014" spans="3:3" x14ac:dyDescent="0.3">
      <c r="C4014" s="14"/>
    </row>
    <row r="4015" spans="3:3" x14ac:dyDescent="0.3">
      <c r="C4015" s="14"/>
    </row>
    <row r="4016" spans="3:3" x14ac:dyDescent="0.3">
      <c r="C4016" s="14"/>
    </row>
    <row r="4017" spans="3:3" x14ac:dyDescent="0.3">
      <c r="C4017" s="14"/>
    </row>
    <row r="4018" spans="3:3" x14ac:dyDescent="0.3">
      <c r="C4018" s="14"/>
    </row>
    <row r="4019" spans="3:3" x14ac:dyDescent="0.3">
      <c r="C4019" s="14"/>
    </row>
    <row r="4020" spans="3:3" x14ac:dyDescent="0.3">
      <c r="C4020" s="14"/>
    </row>
    <row r="4021" spans="3:3" x14ac:dyDescent="0.3">
      <c r="C4021" s="14"/>
    </row>
    <row r="4022" spans="3:3" x14ac:dyDescent="0.3">
      <c r="C4022" s="14"/>
    </row>
    <row r="4023" spans="3:3" x14ac:dyDescent="0.3">
      <c r="C4023" s="14"/>
    </row>
    <row r="4024" spans="3:3" x14ac:dyDescent="0.3">
      <c r="C4024" s="14"/>
    </row>
    <row r="4025" spans="3:3" x14ac:dyDescent="0.3">
      <c r="C4025" s="14"/>
    </row>
    <row r="4026" spans="3:3" x14ac:dyDescent="0.3">
      <c r="C4026" s="14"/>
    </row>
    <row r="4027" spans="3:3" x14ac:dyDescent="0.3">
      <c r="C4027" s="14"/>
    </row>
    <row r="4028" spans="3:3" x14ac:dyDescent="0.3">
      <c r="C4028" s="14"/>
    </row>
    <row r="4029" spans="3:3" x14ac:dyDescent="0.3">
      <c r="C4029" s="14"/>
    </row>
    <row r="4030" spans="3:3" x14ac:dyDescent="0.3">
      <c r="C4030" s="14"/>
    </row>
    <row r="4031" spans="3:3" x14ac:dyDescent="0.3">
      <c r="C4031" s="14"/>
    </row>
    <row r="4032" spans="3:3" x14ac:dyDescent="0.3">
      <c r="C4032" s="14"/>
    </row>
    <row r="4033" spans="3:3" x14ac:dyDescent="0.3">
      <c r="C4033" s="14"/>
    </row>
    <row r="4034" spans="3:3" x14ac:dyDescent="0.3">
      <c r="C4034" s="14"/>
    </row>
    <row r="4035" spans="3:3" x14ac:dyDescent="0.3">
      <c r="C4035" s="14"/>
    </row>
    <row r="4036" spans="3:3" x14ac:dyDescent="0.3">
      <c r="C4036" s="14"/>
    </row>
    <row r="4037" spans="3:3" x14ac:dyDescent="0.3">
      <c r="C4037" s="14"/>
    </row>
    <row r="4038" spans="3:3" x14ac:dyDescent="0.3">
      <c r="C4038" s="14"/>
    </row>
    <row r="4039" spans="3:3" x14ac:dyDescent="0.3">
      <c r="C4039" s="14"/>
    </row>
    <row r="4040" spans="3:3" x14ac:dyDescent="0.3">
      <c r="C4040" s="14"/>
    </row>
    <row r="4041" spans="3:3" x14ac:dyDescent="0.3">
      <c r="C4041" s="14"/>
    </row>
    <row r="4042" spans="3:3" x14ac:dyDescent="0.3">
      <c r="C4042" s="14"/>
    </row>
    <row r="4043" spans="3:3" x14ac:dyDescent="0.3">
      <c r="C4043" s="14"/>
    </row>
    <row r="4044" spans="3:3" x14ac:dyDescent="0.3">
      <c r="C4044" s="14"/>
    </row>
    <row r="4045" spans="3:3" x14ac:dyDescent="0.3">
      <c r="C4045" s="14"/>
    </row>
    <row r="4046" spans="3:3" x14ac:dyDescent="0.3">
      <c r="C4046" s="14"/>
    </row>
    <row r="4047" spans="3:3" x14ac:dyDescent="0.3">
      <c r="C4047" s="14"/>
    </row>
    <row r="4048" spans="3:3" x14ac:dyDescent="0.3">
      <c r="C4048" s="14"/>
    </row>
    <row r="4049" spans="3:3" x14ac:dyDescent="0.3">
      <c r="C4049" s="14"/>
    </row>
    <row r="4050" spans="3:3" x14ac:dyDescent="0.3">
      <c r="C4050" s="14"/>
    </row>
    <row r="4051" spans="3:3" x14ac:dyDescent="0.3">
      <c r="C4051" s="14"/>
    </row>
    <row r="4052" spans="3:3" x14ac:dyDescent="0.3">
      <c r="C4052" s="14"/>
    </row>
    <row r="4053" spans="3:3" x14ac:dyDescent="0.3">
      <c r="C4053" s="14"/>
    </row>
    <row r="4054" spans="3:3" x14ac:dyDescent="0.3">
      <c r="C4054" s="14"/>
    </row>
    <row r="4055" spans="3:3" x14ac:dyDescent="0.3">
      <c r="C4055" s="14"/>
    </row>
    <row r="4056" spans="3:3" x14ac:dyDescent="0.3">
      <c r="C4056" s="14"/>
    </row>
    <row r="4057" spans="3:3" x14ac:dyDescent="0.3">
      <c r="C4057" s="14"/>
    </row>
    <row r="4058" spans="3:3" x14ac:dyDescent="0.3">
      <c r="C4058" s="14"/>
    </row>
    <row r="4059" spans="3:3" x14ac:dyDescent="0.3">
      <c r="C4059" s="14"/>
    </row>
    <row r="4060" spans="3:3" x14ac:dyDescent="0.3">
      <c r="C4060" s="14"/>
    </row>
    <row r="4061" spans="3:3" x14ac:dyDescent="0.3">
      <c r="C4061" s="14"/>
    </row>
    <row r="4062" spans="3:3" x14ac:dyDescent="0.3">
      <c r="C4062" s="14"/>
    </row>
    <row r="4063" spans="3:3" x14ac:dyDescent="0.3">
      <c r="C4063" s="14"/>
    </row>
    <row r="4064" spans="3:3" x14ac:dyDescent="0.3">
      <c r="C4064" s="14"/>
    </row>
    <row r="4065" spans="3:3" x14ac:dyDescent="0.3">
      <c r="C4065" s="14"/>
    </row>
    <row r="4066" spans="3:3" x14ac:dyDescent="0.3">
      <c r="C4066" s="14"/>
    </row>
    <row r="4067" spans="3:3" x14ac:dyDescent="0.3">
      <c r="C4067" s="14"/>
    </row>
    <row r="4068" spans="3:3" x14ac:dyDescent="0.3">
      <c r="C4068" s="14"/>
    </row>
    <row r="4069" spans="3:3" x14ac:dyDescent="0.3">
      <c r="C4069" s="14"/>
    </row>
    <row r="4070" spans="3:3" x14ac:dyDescent="0.3">
      <c r="C4070" s="14"/>
    </row>
    <row r="4071" spans="3:3" x14ac:dyDescent="0.3">
      <c r="C4071" s="14"/>
    </row>
    <row r="4072" spans="3:3" x14ac:dyDescent="0.3">
      <c r="C4072" s="14"/>
    </row>
    <row r="4073" spans="3:3" x14ac:dyDescent="0.3">
      <c r="C4073" s="14"/>
    </row>
    <row r="4074" spans="3:3" x14ac:dyDescent="0.3">
      <c r="C4074" s="14"/>
    </row>
    <row r="4075" spans="3:3" x14ac:dyDescent="0.3">
      <c r="C4075" s="14"/>
    </row>
    <row r="4076" spans="3:3" x14ac:dyDescent="0.3">
      <c r="C4076" s="14"/>
    </row>
    <row r="4077" spans="3:3" x14ac:dyDescent="0.3">
      <c r="C4077" s="14"/>
    </row>
    <row r="4078" spans="3:3" x14ac:dyDescent="0.3">
      <c r="C4078" s="14"/>
    </row>
    <row r="4079" spans="3:3" x14ac:dyDescent="0.3">
      <c r="C4079" s="14"/>
    </row>
    <row r="4080" spans="3:3" x14ac:dyDescent="0.3">
      <c r="C4080" s="14"/>
    </row>
    <row r="4081" spans="3:3" x14ac:dyDescent="0.3">
      <c r="C4081" s="14"/>
    </row>
    <row r="4082" spans="3:3" x14ac:dyDescent="0.3">
      <c r="C4082" s="14"/>
    </row>
    <row r="4083" spans="3:3" x14ac:dyDescent="0.3">
      <c r="C4083" s="14"/>
    </row>
    <row r="4084" spans="3:3" x14ac:dyDescent="0.3">
      <c r="C4084" s="14"/>
    </row>
    <row r="4085" spans="3:3" x14ac:dyDescent="0.3">
      <c r="C4085" s="14"/>
    </row>
    <row r="4086" spans="3:3" x14ac:dyDescent="0.3">
      <c r="C4086" s="14"/>
    </row>
    <row r="4087" spans="3:3" x14ac:dyDescent="0.3">
      <c r="C4087" s="14"/>
    </row>
    <row r="4088" spans="3:3" x14ac:dyDescent="0.3">
      <c r="C4088" s="14"/>
    </row>
    <row r="4089" spans="3:3" x14ac:dyDescent="0.3">
      <c r="C4089" s="14"/>
    </row>
    <row r="4090" spans="3:3" x14ac:dyDescent="0.3">
      <c r="C4090" s="14"/>
    </row>
    <row r="4091" spans="3:3" x14ac:dyDescent="0.3">
      <c r="C4091" s="14"/>
    </row>
    <row r="4092" spans="3:3" x14ac:dyDescent="0.3">
      <c r="C4092" s="14"/>
    </row>
    <row r="4093" spans="3:3" x14ac:dyDescent="0.3">
      <c r="C4093" s="14"/>
    </row>
    <row r="4094" spans="3:3" x14ac:dyDescent="0.3">
      <c r="C4094" s="14"/>
    </row>
    <row r="4095" spans="3:3" x14ac:dyDescent="0.3">
      <c r="C4095" s="14"/>
    </row>
    <row r="4096" spans="3:3" x14ac:dyDescent="0.3">
      <c r="C4096" s="14"/>
    </row>
    <row r="4097" spans="3:3" x14ac:dyDescent="0.3">
      <c r="C4097" s="14"/>
    </row>
    <row r="4098" spans="3:3" x14ac:dyDescent="0.3">
      <c r="C4098" s="14"/>
    </row>
    <row r="4099" spans="3:3" x14ac:dyDescent="0.3">
      <c r="C4099" s="14"/>
    </row>
    <row r="4100" spans="3:3" x14ac:dyDescent="0.3">
      <c r="C4100" s="14"/>
    </row>
    <row r="4101" spans="3:3" x14ac:dyDescent="0.3">
      <c r="C4101" s="14"/>
    </row>
    <row r="4102" spans="3:3" x14ac:dyDescent="0.3">
      <c r="C4102" s="14"/>
    </row>
    <row r="4103" spans="3:3" x14ac:dyDescent="0.3">
      <c r="C4103" s="14"/>
    </row>
    <row r="4104" spans="3:3" x14ac:dyDescent="0.3">
      <c r="C4104" s="14"/>
    </row>
    <row r="4105" spans="3:3" x14ac:dyDescent="0.3">
      <c r="C4105" s="14"/>
    </row>
    <row r="4106" spans="3:3" x14ac:dyDescent="0.3">
      <c r="C4106" s="14"/>
    </row>
    <row r="4107" spans="3:3" x14ac:dyDescent="0.3">
      <c r="C4107" s="14"/>
    </row>
    <row r="4108" spans="3:3" x14ac:dyDescent="0.3">
      <c r="C4108" s="14"/>
    </row>
    <row r="4109" spans="3:3" x14ac:dyDescent="0.3">
      <c r="C4109" s="14"/>
    </row>
    <row r="4110" spans="3:3" x14ac:dyDescent="0.3">
      <c r="C4110" s="14"/>
    </row>
    <row r="4111" spans="3:3" x14ac:dyDescent="0.3">
      <c r="C4111" s="14"/>
    </row>
    <row r="4112" spans="3:3" x14ac:dyDescent="0.3">
      <c r="C4112" s="14"/>
    </row>
    <row r="4113" spans="3:3" x14ac:dyDescent="0.3">
      <c r="C4113" s="14"/>
    </row>
    <row r="4114" spans="3:3" x14ac:dyDescent="0.3">
      <c r="C4114" s="14"/>
    </row>
    <row r="4115" spans="3:3" x14ac:dyDescent="0.3">
      <c r="C4115" s="14"/>
    </row>
    <row r="4116" spans="3:3" x14ac:dyDescent="0.3">
      <c r="C4116" s="14"/>
    </row>
    <row r="4117" spans="3:3" x14ac:dyDescent="0.3">
      <c r="C4117" s="14"/>
    </row>
    <row r="4118" spans="3:3" x14ac:dyDescent="0.3">
      <c r="C4118" s="14"/>
    </row>
    <row r="4119" spans="3:3" x14ac:dyDescent="0.3">
      <c r="C4119" s="14"/>
    </row>
    <row r="4120" spans="3:3" x14ac:dyDescent="0.3">
      <c r="C4120" s="14"/>
    </row>
    <row r="4121" spans="3:3" x14ac:dyDescent="0.3">
      <c r="C4121" s="14"/>
    </row>
    <row r="4122" spans="3:3" x14ac:dyDescent="0.3">
      <c r="C4122" s="14"/>
    </row>
    <row r="4123" spans="3:3" x14ac:dyDescent="0.3">
      <c r="C4123" s="14"/>
    </row>
    <row r="4124" spans="3:3" x14ac:dyDescent="0.3">
      <c r="C4124" s="14"/>
    </row>
    <row r="4125" spans="3:3" x14ac:dyDescent="0.3">
      <c r="C4125" s="14"/>
    </row>
    <row r="4126" spans="3:3" x14ac:dyDescent="0.3">
      <c r="C4126" s="14"/>
    </row>
    <row r="4127" spans="3:3" x14ac:dyDescent="0.3">
      <c r="C4127" s="14"/>
    </row>
    <row r="4128" spans="3:3" x14ac:dyDescent="0.3">
      <c r="C4128" s="14"/>
    </row>
    <row r="4129" spans="3:3" x14ac:dyDescent="0.3">
      <c r="C4129" s="14"/>
    </row>
    <row r="4130" spans="3:3" x14ac:dyDescent="0.3">
      <c r="C4130" s="14"/>
    </row>
    <row r="4131" spans="3:3" x14ac:dyDescent="0.3">
      <c r="C4131" s="14"/>
    </row>
    <row r="4132" spans="3:3" x14ac:dyDescent="0.3">
      <c r="C4132" s="14"/>
    </row>
    <row r="4133" spans="3:3" x14ac:dyDescent="0.3">
      <c r="C4133" s="14"/>
    </row>
    <row r="4134" spans="3:3" x14ac:dyDescent="0.3">
      <c r="C4134" s="14"/>
    </row>
    <row r="4135" spans="3:3" x14ac:dyDescent="0.3">
      <c r="C4135" s="14"/>
    </row>
    <row r="4136" spans="3:3" x14ac:dyDescent="0.3">
      <c r="C4136" s="14"/>
    </row>
    <row r="4137" spans="3:3" x14ac:dyDescent="0.3">
      <c r="C4137" s="14"/>
    </row>
    <row r="4138" spans="3:3" x14ac:dyDescent="0.3">
      <c r="C4138" s="14"/>
    </row>
    <row r="4139" spans="3:3" x14ac:dyDescent="0.3">
      <c r="C4139" s="14"/>
    </row>
    <row r="4140" spans="3:3" x14ac:dyDescent="0.3">
      <c r="C4140" s="14"/>
    </row>
    <row r="4141" spans="3:3" x14ac:dyDescent="0.3">
      <c r="C4141" s="14"/>
    </row>
    <row r="4142" spans="3:3" x14ac:dyDescent="0.3">
      <c r="C4142" s="14"/>
    </row>
    <row r="4143" spans="3:3" x14ac:dyDescent="0.3">
      <c r="C4143" s="14"/>
    </row>
    <row r="4144" spans="3:3" x14ac:dyDescent="0.3">
      <c r="C4144" s="14"/>
    </row>
    <row r="4145" spans="3:3" x14ac:dyDescent="0.3">
      <c r="C4145" s="14"/>
    </row>
    <row r="4146" spans="3:3" x14ac:dyDescent="0.3">
      <c r="C4146" s="14"/>
    </row>
    <row r="4147" spans="3:3" x14ac:dyDescent="0.3">
      <c r="C4147" s="14"/>
    </row>
    <row r="4148" spans="3:3" x14ac:dyDescent="0.3">
      <c r="C4148" s="14"/>
    </row>
    <row r="4149" spans="3:3" x14ac:dyDescent="0.3">
      <c r="C4149" s="14"/>
    </row>
    <row r="4150" spans="3:3" x14ac:dyDescent="0.3">
      <c r="C4150" s="14"/>
    </row>
    <row r="4151" spans="3:3" x14ac:dyDescent="0.3">
      <c r="C4151" s="14"/>
    </row>
    <row r="4152" spans="3:3" x14ac:dyDescent="0.3">
      <c r="C4152" s="14"/>
    </row>
    <row r="4153" spans="3:3" x14ac:dyDescent="0.3">
      <c r="C4153" s="14"/>
    </row>
    <row r="4154" spans="3:3" x14ac:dyDescent="0.3">
      <c r="C4154" s="14"/>
    </row>
    <row r="4155" spans="3:3" x14ac:dyDescent="0.3">
      <c r="C4155" s="14"/>
    </row>
    <row r="4156" spans="3:3" x14ac:dyDescent="0.3">
      <c r="C4156" s="14"/>
    </row>
    <row r="4157" spans="3:3" x14ac:dyDescent="0.3">
      <c r="C4157" s="14"/>
    </row>
    <row r="4158" spans="3:3" x14ac:dyDescent="0.3">
      <c r="C4158" s="14"/>
    </row>
    <row r="4159" spans="3:3" x14ac:dyDescent="0.3">
      <c r="C4159" s="14"/>
    </row>
    <row r="4160" spans="3:3" x14ac:dyDescent="0.3">
      <c r="C4160" s="14"/>
    </row>
    <row r="4161" spans="3:3" x14ac:dyDescent="0.3">
      <c r="C4161" s="14"/>
    </row>
    <row r="4162" spans="3:3" x14ac:dyDescent="0.3">
      <c r="C4162" s="14"/>
    </row>
    <row r="4163" spans="3:3" x14ac:dyDescent="0.3">
      <c r="C4163" s="14"/>
    </row>
    <row r="4164" spans="3:3" x14ac:dyDescent="0.3">
      <c r="C4164" s="14"/>
    </row>
    <row r="4165" spans="3:3" x14ac:dyDescent="0.3">
      <c r="C4165" s="14"/>
    </row>
    <row r="4166" spans="3:3" x14ac:dyDescent="0.3">
      <c r="C4166" s="14"/>
    </row>
    <row r="4167" spans="3:3" x14ac:dyDescent="0.3">
      <c r="C4167" s="14"/>
    </row>
    <row r="4168" spans="3:3" x14ac:dyDescent="0.3">
      <c r="C4168" s="14"/>
    </row>
    <row r="4169" spans="3:3" x14ac:dyDescent="0.3">
      <c r="C4169" s="14"/>
    </row>
    <row r="4170" spans="3:3" x14ac:dyDescent="0.3">
      <c r="C4170" s="14"/>
    </row>
    <row r="4171" spans="3:3" x14ac:dyDescent="0.3">
      <c r="C4171" s="14"/>
    </row>
    <row r="4172" spans="3:3" x14ac:dyDescent="0.3">
      <c r="C4172" s="14"/>
    </row>
    <row r="4173" spans="3:3" x14ac:dyDescent="0.3">
      <c r="C4173" s="14"/>
    </row>
    <row r="4174" spans="3:3" x14ac:dyDescent="0.3">
      <c r="C4174" s="14"/>
    </row>
    <row r="4175" spans="3:3" x14ac:dyDescent="0.3">
      <c r="C4175" s="14"/>
    </row>
    <row r="4176" spans="3:3" x14ac:dyDescent="0.3">
      <c r="C4176" s="14"/>
    </row>
    <row r="4177" spans="3:3" x14ac:dyDescent="0.3">
      <c r="C4177" s="14"/>
    </row>
    <row r="4178" spans="3:3" x14ac:dyDescent="0.3">
      <c r="C4178" s="14"/>
    </row>
    <row r="4179" spans="3:3" x14ac:dyDescent="0.3">
      <c r="C4179" s="14"/>
    </row>
    <row r="4180" spans="3:3" x14ac:dyDescent="0.3">
      <c r="C4180" s="14"/>
    </row>
    <row r="4181" spans="3:3" x14ac:dyDescent="0.3">
      <c r="C4181" s="14"/>
    </row>
    <row r="4182" spans="3:3" x14ac:dyDescent="0.3">
      <c r="C4182" s="14"/>
    </row>
    <row r="4183" spans="3:3" x14ac:dyDescent="0.3">
      <c r="C4183" s="14"/>
    </row>
    <row r="4184" spans="3:3" x14ac:dyDescent="0.3">
      <c r="C4184" s="14"/>
    </row>
    <row r="4185" spans="3:3" x14ac:dyDescent="0.3">
      <c r="C4185" s="14"/>
    </row>
    <row r="4186" spans="3:3" x14ac:dyDescent="0.3">
      <c r="C4186" s="14"/>
    </row>
    <row r="4187" spans="3:3" x14ac:dyDescent="0.3">
      <c r="C4187" s="14"/>
    </row>
    <row r="4188" spans="3:3" x14ac:dyDescent="0.3">
      <c r="C4188" s="14"/>
    </row>
    <row r="4189" spans="3:3" x14ac:dyDescent="0.3">
      <c r="C4189" s="14"/>
    </row>
    <row r="4190" spans="3:3" x14ac:dyDescent="0.3">
      <c r="C4190" s="14"/>
    </row>
    <row r="4191" spans="3:3" x14ac:dyDescent="0.3">
      <c r="C4191" s="14"/>
    </row>
    <row r="4192" spans="3:3" x14ac:dyDescent="0.3">
      <c r="C4192" s="14"/>
    </row>
    <row r="4193" spans="3:3" x14ac:dyDescent="0.3">
      <c r="C4193" s="14"/>
    </row>
    <row r="4194" spans="3:3" x14ac:dyDescent="0.3">
      <c r="C4194" s="14"/>
    </row>
    <row r="4195" spans="3:3" x14ac:dyDescent="0.3">
      <c r="C4195" s="14"/>
    </row>
    <row r="4196" spans="3:3" x14ac:dyDescent="0.3">
      <c r="C4196" s="14"/>
    </row>
    <row r="4197" spans="3:3" x14ac:dyDescent="0.3">
      <c r="C4197" s="14"/>
    </row>
    <row r="4198" spans="3:3" x14ac:dyDescent="0.3">
      <c r="C4198" s="14"/>
    </row>
    <row r="4199" spans="3:3" x14ac:dyDescent="0.3">
      <c r="C4199" s="14"/>
    </row>
    <row r="4200" spans="3:3" x14ac:dyDescent="0.3">
      <c r="C4200" s="14"/>
    </row>
    <row r="4201" spans="3:3" x14ac:dyDescent="0.3">
      <c r="C4201" s="14"/>
    </row>
    <row r="4202" spans="3:3" x14ac:dyDescent="0.3">
      <c r="C4202" s="14"/>
    </row>
    <row r="4203" spans="3:3" x14ac:dyDescent="0.3">
      <c r="C4203" s="14"/>
    </row>
    <row r="4204" spans="3:3" x14ac:dyDescent="0.3">
      <c r="C4204" s="14"/>
    </row>
    <row r="4205" spans="3:3" x14ac:dyDescent="0.3">
      <c r="C4205" s="14"/>
    </row>
    <row r="4206" spans="3:3" x14ac:dyDescent="0.3">
      <c r="C4206" s="14"/>
    </row>
    <row r="4207" spans="3:3" x14ac:dyDescent="0.3">
      <c r="C4207" s="14"/>
    </row>
    <row r="4208" spans="3:3" x14ac:dyDescent="0.3">
      <c r="C4208" s="14"/>
    </row>
    <row r="4209" spans="3:3" x14ac:dyDescent="0.3">
      <c r="C4209" s="14"/>
    </row>
    <row r="4210" spans="3:3" x14ac:dyDescent="0.3">
      <c r="C4210" s="14"/>
    </row>
    <row r="4211" spans="3:3" x14ac:dyDescent="0.3">
      <c r="C4211" s="14"/>
    </row>
    <row r="4212" spans="3:3" x14ac:dyDescent="0.3">
      <c r="C4212" s="14"/>
    </row>
    <row r="4213" spans="3:3" x14ac:dyDescent="0.3">
      <c r="C4213" s="14"/>
    </row>
    <row r="4214" spans="3:3" x14ac:dyDescent="0.3">
      <c r="C4214" s="14"/>
    </row>
    <row r="4215" spans="3:3" x14ac:dyDescent="0.3">
      <c r="C4215" s="14"/>
    </row>
    <row r="4216" spans="3:3" x14ac:dyDescent="0.3">
      <c r="C4216" s="14"/>
    </row>
    <row r="4217" spans="3:3" x14ac:dyDescent="0.3">
      <c r="C4217" s="14"/>
    </row>
    <row r="4218" spans="3:3" x14ac:dyDescent="0.3">
      <c r="C4218" s="14"/>
    </row>
    <row r="4219" spans="3:3" x14ac:dyDescent="0.3">
      <c r="C4219" s="14"/>
    </row>
    <row r="4220" spans="3:3" x14ac:dyDescent="0.3">
      <c r="C4220" s="14"/>
    </row>
    <row r="4221" spans="3:3" x14ac:dyDescent="0.3">
      <c r="C4221" s="14"/>
    </row>
    <row r="4222" spans="3:3" x14ac:dyDescent="0.3">
      <c r="C4222" s="14"/>
    </row>
    <row r="4223" spans="3:3" x14ac:dyDescent="0.3">
      <c r="C4223" s="14"/>
    </row>
    <row r="4224" spans="3:3" x14ac:dyDescent="0.3">
      <c r="C4224" s="14"/>
    </row>
    <row r="4225" spans="3:3" x14ac:dyDescent="0.3">
      <c r="C4225" s="14"/>
    </row>
    <row r="4226" spans="3:3" x14ac:dyDescent="0.3">
      <c r="C4226" s="14"/>
    </row>
    <row r="4227" spans="3:3" x14ac:dyDescent="0.3">
      <c r="C4227" s="14"/>
    </row>
    <row r="4228" spans="3:3" x14ac:dyDescent="0.3">
      <c r="C4228" s="14"/>
    </row>
    <row r="4229" spans="3:3" x14ac:dyDescent="0.3">
      <c r="C4229" s="14"/>
    </row>
    <row r="4230" spans="3:3" x14ac:dyDescent="0.3">
      <c r="C4230" s="14"/>
    </row>
    <row r="4231" spans="3:3" x14ac:dyDescent="0.3">
      <c r="C4231" s="14"/>
    </row>
    <row r="4232" spans="3:3" x14ac:dyDescent="0.3">
      <c r="C4232" s="14"/>
    </row>
    <row r="4233" spans="3:3" x14ac:dyDescent="0.3">
      <c r="C4233" s="14"/>
    </row>
    <row r="4234" spans="3:3" x14ac:dyDescent="0.3">
      <c r="C4234" s="14"/>
    </row>
    <row r="4235" spans="3:3" x14ac:dyDescent="0.3">
      <c r="C4235" s="14"/>
    </row>
    <row r="4236" spans="3:3" x14ac:dyDescent="0.3">
      <c r="C4236" s="14"/>
    </row>
    <row r="4237" spans="3:3" x14ac:dyDescent="0.3">
      <c r="C4237" s="14"/>
    </row>
    <row r="4238" spans="3:3" x14ac:dyDescent="0.3">
      <c r="C4238" s="14"/>
    </row>
    <row r="4239" spans="3:3" x14ac:dyDescent="0.3">
      <c r="C4239" s="14"/>
    </row>
    <row r="4240" spans="3:3" x14ac:dyDescent="0.3">
      <c r="C4240" s="14"/>
    </row>
    <row r="4241" spans="3:3" x14ac:dyDescent="0.3">
      <c r="C4241" s="14"/>
    </row>
    <row r="4242" spans="3:3" x14ac:dyDescent="0.3">
      <c r="C4242" s="14"/>
    </row>
    <row r="4243" spans="3:3" x14ac:dyDescent="0.3">
      <c r="C4243" s="14"/>
    </row>
    <row r="4244" spans="3:3" x14ac:dyDescent="0.3">
      <c r="C4244" s="14"/>
    </row>
    <row r="4245" spans="3:3" x14ac:dyDescent="0.3">
      <c r="C4245" s="14"/>
    </row>
    <row r="4246" spans="3:3" x14ac:dyDescent="0.3">
      <c r="C4246" s="14"/>
    </row>
    <row r="4247" spans="3:3" x14ac:dyDescent="0.3">
      <c r="C4247" s="14"/>
    </row>
    <row r="4248" spans="3:3" x14ac:dyDescent="0.3">
      <c r="C4248" s="14"/>
    </row>
    <row r="4249" spans="3:3" x14ac:dyDescent="0.3">
      <c r="C4249" s="14"/>
    </row>
    <row r="4250" spans="3:3" x14ac:dyDescent="0.3">
      <c r="C4250" s="14"/>
    </row>
    <row r="4251" spans="3:3" x14ac:dyDescent="0.3">
      <c r="C4251" s="14"/>
    </row>
    <row r="4252" spans="3:3" x14ac:dyDescent="0.3">
      <c r="C4252" s="14"/>
    </row>
    <row r="4253" spans="3:3" x14ac:dyDescent="0.3">
      <c r="C4253" s="14"/>
    </row>
    <row r="4254" spans="3:3" x14ac:dyDescent="0.3">
      <c r="C4254" s="14"/>
    </row>
    <row r="4255" spans="3:3" x14ac:dyDescent="0.3">
      <c r="C4255" s="14"/>
    </row>
    <row r="4256" spans="3:3" x14ac:dyDescent="0.3">
      <c r="C4256" s="14"/>
    </row>
    <row r="4257" spans="3:3" x14ac:dyDescent="0.3">
      <c r="C4257" s="14"/>
    </row>
    <row r="4258" spans="3:3" x14ac:dyDescent="0.3">
      <c r="C4258" s="14"/>
    </row>
    <row r="4259" spans="3:3" x14ac:dyDescent="0.3">
      <c r="C4259" s="14"/>
    </row>
    <row r="4260" spans="3:3" x14ac:dyDescent="0.3">
      <c r="C4260" s="14"/>
    </row>
    <row r="4261" spans="3:3" x14ac:dyDescent="0.3">
      <c r="C4261" s="14"/>
    </row>
    <row r="4262" spans="3:3" x14ac:dyDescent="0.3">
      <c r="C4262" s="14"/>
    </row>
    <row r="4263" spans="3:3" x14ac:dyDescent="0.3">
      <c r="C4263" s="14"/>
    </row>
    <row r="4264" spans="3:3" x14ac:dyDescent="0.3">
      <c r="C4264" s="14"/>
    </row>
    <row r="4265" spans="3:3" x14ac:dyDescent="0.3">
      <c r="C4265" s="14"/>
    </row>
    <row r="4266" spans="3:3" x14ac:dyDescent="0.3">
      <c r="C4266" s="14"/>
    </row>
    <row r="4267" spans="3:3" x14ac:dyDescent="0.3">
      <c r="C4267" s="14"/>
    </row>
    <row r="4268" spans="3:3" x14ac:dyDescent="0.3">
      <c r="C4268" s="14"/>
    </row>
    <row r="4269" spans="3:3" x14ac:dyDescent="0.3">
      <c r="C4269" s="14"/>
    </row>
    <row r="4270" spans="3:3" x14ac:dyDescent="0.3">
      <c r="C4270" s="14"/>
    </row>
    <row r="4271" spans="3:3" x14ac:dyDescent="0.3">
      <c r="C4271" s="14"/>
    </row>
    <row r="4272" spans="3:3" x14ac:dyDescent="0.3">
      <c r="C4272" s="14"/>
    </row>
    <row r="4273" spans="3:3" x14ac:dyDescent="0.3">
      <c r="C4273" s="14"/>
    </row>
    <row r="4274" spans="3:3" x14ac:dyDescent="0.3">
      <c r="C4274" s="14"/>
    </row>
    <row r="4275" spans="3:3" x14ac:dyDescent="0.3">
      <c r="C4275" s="14"/>
    </row>
    <row r="4276" spans="3:3" x14ac:dyDescent="0.3">
      <c r="C4276" s="14"/>
    </row>
    <row r="4277" spans="3:3" x14ac:dyDescent="0.3">
      <c r="C4277" s="14"/>
    </row>
    <row r="4278" spans="3:3" x14ac:dyDescent="0.3">
      <c r="C4278" s="14"/>
    </row>
    <row r="4279" spans="3:3" x14ac:dyDescent="0.3">
      <c r="C4279" s="14"/>
    </row>
    <row r="4280" spans="3:3" x14ac:dyDescent="0.3">
      <c r="C4280" s="14"/>
    </row>
    <row r="4281" spans="3:3" x14ac:dyDescent="0.3">
      <c r="C4281" s="14"/>
    </row>
    <row r="4282" spans="3:3" x14ac:dyDescent="0.3">
      <c r="C4282" s="14"/>
    </row>
    <row r="4283" spans="3:3" x14ac:dyDescent="0.3">
      <c r="C4283" s="14"/>
    </row>
    <row r="4284" spans="3:3" x14ac:dyDescent="0.3">
      <c r="C4284" s="14"/>
    </row>
    <row r="4285" spans="3:3" x14ac:dyDescent="0.3">
      <c r="C4285" s="14"/>
    </row>
    <row r="4286" spans="3:3" x14ac:dyDescent="0.3">
      <c r="C4286" s="14"/>
    </row>
    <row r="4287" spans="3:3" x14ac:dyDescent="0.3">
      <c r="C4287" s="14"/>
    </row>
    <row r="4288" spans="3:3" x14ac:dyDescent="0.3">
      <c r="C4288" s="14"/>
    </row>
    <row r="4289" spans="3:3" x14ac:dyDescent="0.3">
      <c r="C4289" s="14"/>
    </row>
    <row r="4290" spans="3:3" x14ac:dyDescent="0.3">
      <c r="C4290" s="14"/>
    </row>
    <row r="4291" spans="3:3" x14ac:dyDescent="0.3">
      <c r="C4291" s="14"/>
    </row>
    <row r="4292" spans="3:3" x14ac:dyDescent="0.3">
      <c r="C4292" s="14"/>
    </row>
    <row r="4293" spans="3:3" x14ac:dyDescent="0.3">
      <c r="C4293" s="14"/>
    </row>
    <row r="4294" spans="3:3" x14ac:dyDescent="0.3">
      <c r="C4294" s="14"/>
    </row>
    <row r="4295" spans="3:3" x14ac:dyDescent="0.3">
      <c r="C4295" s="14"/>
    </row>
    <row r="4296" spans="3:3" x14ac:dyDescent="0.3">
      <c r="C4296" s="14"/>
    </row>
    <row r="4297" spans="3:3" x14ac:dyDescent="0.3">
      <c r="C4297" s="14"/>
    </row>
    <row r="4298" spans="3:3" x14ac:dyDescent="0.3">
      <c r="C4298" s="14"/>
    </row>
    <row r="4299" spans="3:3" x14ac:dyDescent="0.3">
      <c r="C4299" s="14"/>
    </row>
    <row r="4300" spans="3:3" x14ac:dyDescent="0.3">
      <c r="C4300" s="14"/>
    </row>
    <row r="4301" spans="3:3" x14ac:dyDescent="0.3">
      <c r="C4301" s="14"/>
    </row>
    <row r="4302" spans="3:3" x14ac:dyDescent="0.3">
      <c r="C4302" s="14"/>
    </row>
    <row r="4303" spans="3:3" x14ac:dyDescent="0.3">
      <c r="C4303" s="14"/>
    </row>
    <row r="4304" spans="3:3" x14ac:dyDescent="0.3">
      <c r="C4304" s="14"/>
    </row>
    <row r="4305" spans="3:3" x14ac:dyDescent="0.3">
      <c r="C4305" s="14"/>
    </row>
    <row r="4306" spans="3:3" x14ac:dyDescent="0.3">
      <c r="C4306" s="14"/>
    </row>
    <row r="4307" spans="3:3" x14ac:dyDescent="0.3">
      <c r="C4307" s="14"/>
    </row>
    <row r="4308" spans="3:3" x14ac:dyDescent="0.3">
      <c r="C4308" s="14"/>
    </row>
    <row r="4309" spans="3:3" x14ac:dyDescent="0.3">
      <c r="C4309" s="14"/>
    </row>
    <row r="4310" spans="3:3" x14ac:dyDescent="0.3">
      <c r="C4310" s="14"/>
    </row>
    <row r="4311" spans="3:3" x14ac:dyDescent="0.3">
      <c r="C4311" s="14"/>
    </row>
    <row r="4312" spans="3:3" x14ac:dyDescent="0.3">
      <c r="C4312" s="14"/>
    </row>
    <row r="4313" spans="3:3" x14ac:dyDescent="0.3">
      <c r="C4313" s="14"/>
    </row>
    <row r="4314" spans="3:3" x14ac:dyDescent="0.3">
      <c r="C4314" s="14"/>
    </row>
    <row r="4315" spans="3:3" x14ac:dyDescent="0.3">
      <c r="C4315" s="14"/>
    </row>
    <row r="4316" spans="3:3" x14ac:dyDescent="0.3">
      <c r="C4316" s="14"/>
    </row>
    <row r="4317" spans="3:3" x14ac:dyDescent="0.3">
      <c r="C4317" s="14"/>
    </row>
    <row r="4318" spans="3:3" x14ac:dyDescent="0.3">
      <c r="C4318" s="14"/>
    </row>
    <row r="4319" spans="3:3" x14ac:dyDescent="0.3">
      <c r="C4319" s="14"/>
    </row>
    <row r="4320" spans="3:3" x14ac:dyDescent="0.3">
      <c r="C4320" s="14"/>
    </row>
    <row r="4321" spans="3:3" x14ac:dyDescent="0.3">
      <c r="C4321" s="14"/>
    </row>
    <row r="4322" spans="3:3" x14ac:dyDescent="0.3">
      <c r="C4322" s="14"/>
    </row>
    <row r="4323" spans="3:3" x14ac:dyDescent="0.3">
      <c r="C4323" s="14"/>
    </row>
    <row r="4324" spans="3:3" x14ac:dyDescent="0.3">
      <c r="C4324" s="14"/>
    </row>
    <row r="4325" spans="3:3" x14ac:dyDescent="0.3">
      <c r="C4325" s="14"/>
    </row>
    <row r="4326" spans="3:3" x14ac:dyDescent="0.3">
      <c r="C4326" s="14"/>
    </row>
    <row r="4327" spans="3:3" x14ac:dyDescent="0.3">
      <c r="C4327" s="14"/>
    </row>
    <row r="4328" spans="3:3" x14ac:dyDescent="0.3">
      <c r="C4328" s="14"/>
    </row>
    <row r="4329" spans="3:3" x14ac:dyDescent="0.3">
      <c r="C4329" s="14"/>
    </row>
    <row r="4330" spans="3:3" x14ac:dyDescent="0.3">
      <c r="C4330" s="14"/>
    </row>
    <row r="4331" spans="3:3" x14ac:dyDescent="0.3">
      <c r="C4331" s="14"/>
    </row>
    <row r="4332" spans="3:3" x14ac:dyDescent="0.3">
      <c r="C4332" s="14"/>
    </row>
    <row r="4333" spans="3:3" x14ac:dyDescent="0.3">
      <c r="C4333" s="14"/>
    </row>
    <row r="4334" spans="3:3" x14ac:dyDescent="0.3">
      <c r="C4334" s="14"/>
    </row>
    <row r="4335" spans="3:3" x14ac:dyDescent="0.3">
      <c r="C4335" s="14"/>
    </row>
    <row r="4336" spans="3:3" x14ac:dyDescent="0.3">
      <c r="C4336" s="14"/>
    </row>
    <row r="4337" spans="3:3" x14ac:dyDescent="0.3">
      <c r="C4337" s="14"/>
    </row>
    <row r="4338" spans="3:3" x14ac:dyDescent="0.3">
      <c r="C4338" s="14"/>
    </row>
    <row r="4339" spans="3:3" x14ac:dyDescent="0.3">
      <c r="C4339" s="14"/>
    </row>
    <row r="4340" spans="3:3" x14ac:dyDescent="0.3">
      <c r="C4340" s="14"/>
    </row>
    <row r="4341" spans="3:3" x14ac:dyDescent="0.3">
      <c r="C4341" s="14"/>
    </row>
    <row r="4342" spans="3:3" x14ac:dyDescent="0.3">
      <c r="C4342" s="14"/>
    </row>
    <row r="4343" spans="3:3" x14ac:dyDescent="0.3">
      <c r="C4343" s="14"/>
    </row>
    <row r="4344" spans="3:3" x14ac:dyDescent="0.3">
      <c r="C4344" s="14"/>
    </row>
    <row r="4345" spans="3:3" x14ac:dyDescent="0.3">
      <c r="C4345" s="14"/>
    </row>
    <row r="4346" spans="3:3" x14ac:dyDescent="0.3">
      <c r="C4346" s="14"/>
    </row>
    <row r="4347" spans="3:3" x14ac:dyDescent="0.3">
      <c r="C4347" s="14"/>
    </row>
    <row r="4348" spans="3:3" x14ac:dyDescent="0.3">
      <c r="C4348" s="14"/>
    </row>
    <row r="4349" spans="3:3" x14ac:dyDescent="0.3">
      <c r="C4349" s="14"/>
    </row>
    <row r="4350" spans="3:3" x14ac:dyDescent="0.3">
      <c r="C4350" s="14"/>
    </row>
    <row r="4351" spans="3:3" x14ac:dyDescent="0.3">
      <c r="C4351" s="14"/>
    </row>
    <row r="4352" spans="3:3" x14ac:dyDescent="0.3">
      <c r="C4352" s="14"/>
    </row>
    <row r="4353" spans="3:3" x14ac:dyDescent="0.3">
      <c r="C4353" s="14"/>
    </row>
    <row r="4354" spans="3:3" x14ac:dyDescent="0.3">
      <c r="C4354" s="14"/>
    </row>
    <row r="4355" spans="3:3" x14ac:dyDescent="0.3">
      <c r="C4355" s="14"/>
    </row>
    <row r="4356" spans="3:3" x14ac:dyDescent="0.3">
      <c r="C4356" s="14"/>
    </row>
    <row r="4357" spans="3:3" x14ac:dyDescent="0.3">
      <c r="C4357" s="14"/>
    </row>
    <row r="4358" spans="3:3" x14ac:dyDescent="0.3">
      <c r="C4358" s="14"/>
    </row>
    <row r="4359" spans="3:3" x14ac:dyDescent="0.3">
      <c r="C4359" s="14"/>
    </row>
    <row r="4360" spans="3:3" x14ac:dyDescent="0.3">
      <c r="C4360" s="14"/>
    </row>
    <row r="4361" spans="3:3" x14ac:dyDescent="0.3">
      <c r="C4361" s="14"/>
    </row>
    <row r="4362" spans="3:3" x14ac:dyDescent="0.3">
      <c r="C4362" s="14"/>
    </row>
    <row r="4363" spans="3:3" x14ac:dyDescent="0.3">
      <c r="C4363" s="14"/>
    </row>
    <row r="4364" spans="3:3" x14ac:dyDescent="0.3">
      <c r="C4364" s="14"/>
    </row>
    <row r="4365" spans="3:3" x14ac:dyDescent="0.3">
      <c r="C4365" s="14"/>
    </row>
    <row r="4366" spans="3:3" x14ac:dyDescent="0.3">
      <c r="C4366" s="14"/>
    </row>
    <row r="4367" spans="3:3" x14ac:dyDescent="0.3">
      <c r="C4367" s="14"/>
    </row>
    <row r="4368" spans="3:3" x14ac:dyDescent="0.3">
      <c r="C4368" s="14"/>
    </row>
    <row r="4369" spans="3:3" x14ac:dyDescent="0.3">
      <c r="C4369" s="14"/>
    </row>
    <row r="4370" spans="3:3" x14ac:dyDescent="0.3">
      <c r="C4370" s="14"/>
    </row>
    <row r="4371" spans="3:3" x14ac:dyDescent="0.3">
      <c r="C4371" s="14"/>
    </row>
    <row r="4372" spans="3:3" x14ac:dyDescent="0.3">
      <c r="C4372" s="14"/>
    </row>
    <row r="4373" spans="3:3" x14ac:dyDescent="0.3">
      <c r="C4373" s="14"/>
    </row>
    <row r="4374" spans="3:3" x14ac:dyDescent="0.3">
      <c r="C4374" s="14"/>
    </row>
    <row r="4375" spans="3:3" x14ac:dyDescent="0.3">
      <c r="C4375" s="14"/>
    </row>
    <row r="4376" spans="3:3" x14ac:dyDescent="0.3">
      <c r="C4376" s="14"/>
    </row>
    <row r="4377" spans="3:3" x14ac:dyDescent="0.3">
      <c r="C4377" s="14"/>
    </row>
    <row r="4378" spans="3:3" x14ac:dyDescent="0.3">
      <c r="C4378" s="14"/>
    </row>
    <row r="4379" spans="3:3" x14ac:dyDescent="0.3">
      <c r="C4379" s="14"/>
    </row>
    <row r="4380" spans="3:3" x14ac:dyDescent="0.3">
      <c r="C4380" s="14"/>
    </row>
    <row r="4381" spans="3:3" x14ac:dyDescent="0.3">
      <c r="C4381" s="14"/>
    </row>
    <row r="4382" spans="3:3" x14ac:dyDescent="0.3">
      <c r="C4382" s="14"/>
    </row>
    <row r="4383" spans="3:3" x14ac:dyDescent="0.3">
      <c r="C4383" s="14"/>
    </row>
    <row r="4384" spans="3:3" x14ac:dyDescent="0.3">
      <c r="C4384" s="14"/>
    </row>
    <row r="4385" spans="3:3" x14ac:dyDescent="0.3">
      <c r="C4385" s="14"/>
    </row>
    <row r="4386" spans="3:3" x14ac:dyDescent="0.3">
      <c r="C4386" s="14"/>
    </row>
    <row r="4387" spans="3:3" x14ac:dyDescent="0.3">
      <c r="C4387" s="14"/>
    </row>
    <row r="4388" spans="3:3" x14ac:dyDescent="0.3">
      <c r="C4388" s="14"/>
    </row>
    <row r="4389" spans="3:3" x14ac:dyDescent="0.3">
      <c r="C4389" s="14"/>
    </row>
    <row r="4390" spans="3:3" x14ac:dyDescent="0.3">
      <c r="C4390" s="14"/>
    </row>
    <row r="4391" spans="3:3" x14ac:dyDescent="0.3">
      <c r="C4391" s="14"/>
    </row>
    <row r="4392" spans="3:3" x14ac:dyDescent="0.3">
      <c r="C4392" s="14"/>
    </row>
    <row r="4393" spans="3:3" x14ac:dyDescent="0.3">
      <c r="C4393" s="14"/>
    </row>
    <row r="4394" spans="3:3" x14ac:dyDescent="0.3">
      <c r="C4394" s="14"/>
    </row>
    <row r="4395" spans="3:3" x14ac:dyDescent="0.3">
      <c r="C4395" s="14"/>
    </row>
    <row r="4396" spans="3:3" x14ac:dyDescent="0.3">
      <c r="C4396" s="14"/>
    </row>
    <row r="4397" spans="3:3" x14ac:dyDescent="0.3">
      <c r="C4397" s="14"/>
    </row>
    <row r="4398" spans="3:3" x14ac:dyDescent="0.3">
      <c r="C4398" s="14"/>
    </row>
    <row r="4399" spans="3:3" x14ac:dyDescent="0.3">
      <c r="C4399" s="14"/>
    </row>
    <row r="4400" spans="3:3" x14ac:dyDescent="0.3">
      <c r="C4400" s="14"/>
    </row>
    <row r="4401" spans="3:3" x14ac:dyDescent="0.3">
      <c r="C4401" s="14"/>
    </row>
    <row r="4402" spans="3:3" x14ac:dyDescent="0.3">
      <c r="C4402" s="14"/>
    </row>
    <row r="4403" spans="3:3" x14ac:dyDescent="0.3">
      <c r="C4403" s="14"/>
    </row>
    <row r="4404" spans="3:3" x14ac:dyDescent="0.3">
      <c r="C4404" s="14"/>
    </row>
    <row r="4405" spans="3:3" x14ac:dyDescent="0.3">
      <c r="C4405" s="14"/>
    </row>
    <row r="4406" spans="3:3" x14ac:dyDescent="0.3">
      <c r="C4406" s="14"/>
    </row>
    <row r="4407" spans="3:3" x14ac:dyDescent="0.3">
      <c r="C4407" s="14"/>
    </row>
    <row r="4408" spans="3:3" x14ac:dyDescent="0.3">
      <c r="C4408" s="14"/>
    </row>
    <row r="4409" spans="3:3" x14ac:dyDescent="0.3">
      <c r="C4409" s="14"/>
    </row>
    <row r="4410" spans="3:3" x14ac:dyDescent="0.3">
      <c r="C4410" s="14"/>
    </row>
    <row r="4411" spans="3:3" x14ac:dyDescent="0.3">
      <c r="C4411" s="14"/>
    </row>
    <row r="4412" spans="3:3" x14ac:dyDescent="0.3">
      <c r="C4412" s="14"/>
    </row>
    <row r="4413" spans="3:3" x14ac:dyDescent="0.3">
      <c r="C4413" s="14"/>
    </row>
    <row r="4414" spans="3:3" x14ac:dyDescent="0.3">
      <c r="C4414" s="14"/>
    </row>
    <row r="4415" spans="3:3" x14ac:dyDescent="0.3">
      <c r="C4415" s="14"/>
    </row>
    <row r="4416" spans="3:3" x14ac:dyDescent="0.3">
      <c r="C4416" s="14"/>
    </row>
    <row r="4417" spans="3:3" x14ac:dyDescent="0.3">
      <c r="C4417" s="14"/>
    </row>
    <row r="4418" spans="3:3" x14ac:dyDescent="0.3">
      <c r="C4418" s="14"/>
    </row>
    <row r="4419" spans="3:3" x14ac:dyDescent="0.3">
      <c r="C4419" s="14"/>
    </row>
    <row r="4420" spans="3:3" x14ac:dyDescent="0.3">
      <c r="C4420" s="14"/>
    </row>
    <row r="4421" spans="3:3" x14ac:dyDescent="0.3">
      <c r="C4421" s="14"/>
    </row>
    <row r="4422" spans="3:3" x14ac:dyDescent="0.3">
      <c r="C4422" s="14"/>
    </row>
    <row r="4423" spans="3:3" x14ac:dyDescent="0.3">
      <c r="C4423" s="14"/>
    </row>
    <row r="4424" spans="3:3" x14ac:dyDescent="0.3">
      <c r="C4424" s="14"/>
    </row>
    <row r="4425" spans="3:3" x14ac:dyDescent="0.3">
      <c r="C4425" s="14"/>
    </row>
    <row r="4426" spans="3:3" x14ac:dyDescent="0.3">
      <c r="C4426" s="14"/>
    </row>
    <row r="4427" spans="3:3" x14ac:dyDescent="0.3">
      <c r="C4427" s="14"/>
    </row>
    <row r="4428" spans="3:3" x14ac:dyDescent="0.3">
      <c r="C4428" s="14"/>
    </row>
    <row r="4429" spans="3:3" x14ac:dyDescent="0.3">
      <c r="C4429" s="14"/>
    </row>
    <row r="4430" spans="3:3" x14ac:dyDescent="0.3">
      <c r="C4430" s="14"/>
    </row>
    <row r="4431" spans="3:3" x14ac:dyDescent="0.3">
      <c r="C4431" s="14"/>
    </row>
    <row r="4432" spans="3:3" x14ac:dyDescent="0.3">
      <c r="C4432" s="14"/>
    </row>
    <row r="4433" spans="3:3" x14ac:dyDescent="0.3">
      <c r="C4433" s="14"/>
    </row>
    <row r="4434" spans="3:3" x14ac:dyDescent="0.3">
      <c r="C4434" s="14"/>
    </row>
    <row r="4435" spans="3:3" x14ac:dyDescent="0.3">
      <c r="C4435" s="14"/>
    </row>
    <row r="4436" spans="3:3" x14ac:dyDescent="0.3">
      <c r="C4436" s="14"/>
    </row>
    <row r="4437" spans="3:3" x14ac:dyDescent="0.3">
      <c r="C4437" s="14"/>
    </row>
    <row r="4438" spans="3:3" x14ac:dyDescent="0.3">
      <c r="C4438" s="14"/>
    </row>
    <row r="4439" spans="3:3" x14ac:dyDescent="0.3">
      <c r="C4439" s="14"/>
    </row>
    <row r="4440" spans="3:3" x14ac:dyDescent="0.3">
      <c r="C4440" s="14"/>
    </row>
    <row r="4441" spans="3:3" x14ac:dyDescent="0.3">
      <c r="C4441" s="14"/>
    </row>
    <row r="4442" spans="3:3" x14ac:dyDescent="0.3">
      <c r="C4442" s="14"/>
    </row>
    <row r="4443" spans="3:3" x14ac:dyDescent="0.3">
      <c r="C4443" s="14"/>
    </row>
    <row r="4444" spans="3:3" x14ac:dyDescent="0.3">
      <c r="C4444" s="14"/>
    </row>
    <row r="4445" spans="3:3" x14ac:dyDescent="0.3">
      <c r="C4445" s="14"/>
    </row>
    <row r="4446" spans="3:3" x14ac:dyDescent="0.3">
      <c r="C4446" s="14"/>
    </row>
    <row r="4447" spans="3:3" x14ac:dyDescent="0.3">
      <c r="C4447" s="14"/>
    </row>
    <row r="4448" spans="3:3" x14ac:dyDescent="0.3">
      <c r="C4448" s="14"/>
    </row>
    <row r="4449" spans="3:3" x14ac:dyDescent="0.3">
      <c r="C4449" s="14"/>
    </row>
    <row r="4450" spans="3:3" x14ac:dyDescent="0.3">
      <c r="C4450" s="14"/>
    </row>
    <row r="4451" spans="3:3" x14ac:dyDescent="0.3">
      <c r="C4451" s="14"/>
    </row>
    <row r="4452" spans="3:3" x14ac:dyDescent="0.3">
      <c r="C4452" s="14"/>
    </row>
    <row r="4453" spans="3:3" x14ac:dyDescent="0.3">
      <c r="C4453" s="14"/>
    </row>
    <row r="4454" spans="3:3" x14ac:dyDescent="0.3">
      <c r="C4454" s="14"/>
    </row>
    <row r="4455" spans="3:3" x14ac:dyDescent="0.3">
      <c r="C4455" s="14"/>
    </row>
    <row r="4456" spans="3:3" x14ac:dyDescent="0.3">
      <c r="C4456" s="14"/>
    </row>
    <row r="4457" spans="3:3" x14ac:dyDescent="0.3">
      <c r="C4457" s="14"/>
    </row>
    <row r="4458" spans="3:3" x14ac:dyDescent="0.3">
      <c r="C4458" s="14"/>
    </row>
    <row r="4459" spans="3:3" x14ac:dyDescent="0.3">
      <c r="C4459" s="14"/>
    </row>
    <row r="4460" spans="3:3" x14ac:dyDescent="0.3">
      <c r="C4460" s="14"/>
    </row>
    <row r="4461" spans="3:3" x14ac:dyDescent="0.3">
      <c r="C4461" s="14"/>
    </row>
    <row r="4462" spans="3:3" x14ac:dyDescent="0.3">
      <c r="C4462" s="14"/>
    </row>
    <row r="4463" spans="3:3" x14ac:dyDescent="0.3">
      <c r="C4463" s="14"/>
    </row>
    <row r="4464" spans="3:3" x14ac:dyDescent="0.3">
      <c r="C4464" s="14"/>
    </row>
    <row r="4465" spans="3:3" x14ac:dyDescent="0.3">
      <c r="C4465" s="14"/>
    </row>
    <row r="4466" spans="3:3" x14ac:dyDescent="0.3">
      <c r="C4466" s="14"/>
    </row>
    <row r="4467" spans="3:3" x14ac:dyDescent="0.3">
      <c r="C4467" s="14"/>
    </row>
    <row r="4468" spans="3:3" x14ac:dyDescent="0.3">
      <c r="C4468" s="14"/>
    </row>
    <row r="4469" spans="3:3" x14ac:dyDescent="0.3">
      <c r="C4469" s="14"/>
    </row>
    <row r="4470" spans="3:3" x14ac:dyDescent="0.3">
      <c r="C4470" s="14"/>
    </row>
    <row r="4471" spans="3:3" x14ac:dyDescent="0.3">
      <c r="C4471" s="14"/>
    </row>
    <row r="4472" spans="3:3" x14ac:dyDescent="0.3">
      <c r="C4472" s="14"/>
    </row>
    <row r="4473" spans="3:3" x14ac:dyDescent="0.3">
      <c r="C4473" s="14"/>
    </row>
    <row r="4474" spans="3:3" x14ac:dyDescent="0.3">
      <c r="C4474" s="14"/>
    </row>
    <row r="4475" spans="3:3" x14ac:dyDescent="0.3">
      <c r="C4475" s="14"/>
    </row>
    <row r="4476" spans="3:3" x14ac:dyDescent="0.3">
      <c r="C4476" s="14"/>
    </row>
    <row r="4477" spans="3:3" x14ac:dyDescent="0.3">
      <c r="C4477" s="14"/>
    </row>
    <row r="4478" spans="3:3" x14ac:dyDescent="0.3">
      <c r="C4478" s="14"/>
    </row>
    <row r="4479" spans="3:3" x14ac:dyDescent="0.3">
      <c r="C4479" s="14"/>
    </row>
    <row r="4480" spans="3:3" x14ac:dyDescent="0.3">
      <c r="C4480" s="14"/>
    </row>
    <row r="4481" spans="3:3" x14ac:dyDescent="0.3">
      <c r="C4481" s="14"/>
    </row>
    <row r="4482" spans="3:3" x14ac:dyDescent="0.3">
      <c r="C4482" s="14"/>
    </row>
    <row r="4483" spans="3:3" x14ac:dyDescent="0.3">
      <c r="C4483" s="14"/>
    </row>
    <row r="4484" spans="3:3" x14ac:dyDescent="0.3">
      <c r="C4484" s="14"/>
    </row>
    <row r="4485" spans="3:3" x14ac:dyDescent="0.3">
      <c r="C4485" s="14"/>
    </row>
    <row r="4486" spans="3:3" x14ac:dyDescent="0.3">
      <c r="C4486" s="14"/>
    </row>
    <row r="4487" spans="3:3" x14ac:dyDescent="0.3">
      <c r="C4487" s="14"/>
    </row>
    <row r="4488" spans="3:3" x14ac:dyDescent="0.3">
      <c r="C4488" s="14"/>
    </row>
    <row r="4489" spans="3:3" x14ac:dyDescent="0.3">
      <c r="C4489" s="14"/>
    </row>
    <row r="4490" spans="3:3" x14ac:dyDescent="0.3">
      <c r="C4490" s="14"/>
    </row>
    <row r="4491" spans="3:3" x14ac:dyDescent="0.3">
      <c r="C4491" s="14"/>
    </row>
    <row r="4492" spans="3:3" x14ac:dyDescent="0.3">
      <c r="C4492" s="14"/>
    </row>
    <row r="4493" spans="3:3" x14ac:dyDescent="0.3">
      <c r="C4493" s="14"/>
    </row>
    <row r="4494" spans="3:3" x14ac:dyDescent="0.3">
      <c r="C4494" s="14"/>
    </row>
    <row r="4495" spans="3:3" x14ac:dyDescent="0.3">
      <c r="C4495" s="14"/>
    </row>
    <row r="4496" spans="3:3" x14ac:dyDescent="0.3">
      <c r="C4496" s="14"/>
    </row>
    <row r="4497" spans="3:3" x14ac:dyDescent="0.3">
      <c r="C4497" s="14"/>
    </row>
    <row r="4498" spans="3:3" x14ac:dyDescent="0.3">
      <c r="C4498" s="14"/>
    </row>
    <row r="4499" spans="3:3" x14ac:dyDescent="0.3">
      <c r="C4499" s="14"/>
    </row>
    <row r="4500" spans="3:3" x14ac:dyDescent="0.3">
      <c r="C4500" s="14"/>
    </row>
    <row r="4501" spans="3:3" x14ac:dyDescent="0.3">
      <c r="C4501" s="14"/>
    </row>
    <row r="4502" spans="3:3" x14ac:dyDescent="0.3">
      <c r="C4502" s="14"/>
    </row>
    <row r="4503" spans="3:3" x14ac:dyDescent="0.3">
      <c r="C4503" s="14"/>
    </row>
    <row r="4504" spans="3:3" x14ac:dyDescent="0.3">
      <c r="C4504" s="14"/>
    </row>
    <row r="4505" spans="3:3" x14ac:dyDescent="0.3">
      <c r="C4505" s="14"/>
    </row>
    <row r="4506" spans="3:3" x14ac:dyDescent="0.3">
      <c r="C4506" s="14"/>
    </row>
    <row r="4507" spans="3:3" x14ac:dyDescent="0.3">
      <c r="C4507" s="14"/>
    </row>
    <row r="4508" spans="3:3" x14ac:dyDescent="0.3">
      <c r="C4508" s="14"/>
    </row>
    <row r="4509" spans="3:3" x14ac:dyDescent="0.3">
      <c r="C4509" s="14"/>
    </row>
    <row r="4510" spans="3:3" x14ac:dyDescent="0.3">
      <c r="C4510" s="14"/>
    </row>
    <row r="4511" spans="3:3" x14ac:dyDescent="0.3">
      <c r="C4511" s="14"/>
    </row>
    <row r="4512" spans="3:3" x14ac:dyDescent="0.3">
      <c r="C4512" s="14"/>
    </row>
    <row r="4513" spans="3:3" x14ac:dyDescent="0.3">
      <c r="C4513" s="14"/>
    </row>
    <row r="4514" spans="3:3" x14ac:dyDescent="0.3">
      <c r="C4514" s="14"/>
    </row>
    <row r="4515" spans="3:3" x14ac:dyDescent="0.3">
      <c r="C4515" s="14"/>
    </row>
    <row r="4516" spans="3:3" x14ac:dyDescent="0.3">
      <c r="C4516" s="14"/>
    </row>
    <row r="4517" spans="3:3" x14ac:dyDescent="0.3">
      <c r="C4517" s="14"/>
    </row>
    <row r="4518" spans="3:3" x14ac:dyDescent="0.3">
      <c r="C4518" s="14"/>
    </row>
    <row r="4519" spans="3:3" x14ac:dyDescent="0.3">
      <c r="C4519" s="14"/>
    </row>
    <row r="4520" spans="3:3" x14ac:dyDescent="0.3">
      <c r="C4520" s="14"/>
    </row>
    <row r="4521" spans="3:3" x14ac:dyDescent="0.3">
      <c r="C4521" s="14"/>
    </row>
    <row r="4522" spans="3:3" x14ac:dyDescent="0.3">
      <c r="C4522" s="14"/>
    </row>
    <row r="4523" spans="3:3" x14ac:dyDescent="0.3">
      <c r="C4523" s="14"/>
    </row>
    <row r="4524" spans="3:3" x14ac:dyDescent="0.3">
      <c r="C4524" s="14"/>
    </row>
    <row r="4525" spans="3:3" x14ac:dyDescent="0.3">
      <c r="C4525" s="14"/>
    </row>
    <row r="4526" spans="3:3" x14ac:dyDescent="0.3">
      <c r="C4526" s="14"/>
    </row>
    <row r="4527" spans="3:3" x14ac:dyDescent="0.3">
      <c r="C4527" s="14"/>
    </row>
    <row r="4528" spans="3:3" x14ac:dyDescent="0.3">
      <c r="C4528" s="14"/>
    </row>
    <row r="4529" spans="3:3" x14ac:dyDescent="0.3">
      <c r="C4529" s="14"/>
    </row>
    <row r="4530" spans="3:3" x14ac:dyDescent="0.3">
      <c r="C4530" s="14"/>
    </row>
    <row r="4531" spans="3:3" x14ac:dyDescent="0.3">
      <c r="C4531" s="14"/>
    </row>
    <row r="4532" spans="3:3" x14ac:dyDescent="0.3">
      <c r="C4532" s="14"/>
    </row>
    <row r="4533" spans="3:3" x14ac:dyDescent="0.3">
      <c r="C4533" s="14"/>
    </row>
    <row r="4534" spans="3:3" x14ac:dyDescent="0.3">
      <c r="C4534" s="14"/>
    </row>
    <row r="4535" spans="3:3" x14ac:dyDescent="0.3">
      <c r="C4535" s="14"/>
    </row>
    <row r="4536" spans="3:3" x14ac:dyDescent="0.3">
      <c r="C4536" s="14"/>
    </row>
    <row r="4537" spans="3:3" x14ac:dyDescent="0.3">
      <c r="C4537" s="14"/>
    </row>
    <row r="4538" spans="3:3" x14ac:dyDescent="0.3">
      <c r="C4538" s="14"/>
    </row>
    <row r="4539" spans="3:3" x14ac:dyDescent="0.3">
      <c r="C4539" s="14"/>
    </row>
    <row r="4540" spans="3:3" x14ac:dyDescent="0.3">
      <c r="C4540" s="14"/>
    </row>
    <row r="4541" spans="3:3" x14ac:dyDescent="0.3">
      <c r="C4541" s="14"/>
    </row>
    <row r="4542" spans="3:3" x14ac:dyDescent="0.3">
      <c r="C4542" s="14"/>
    </row>
    <row r="4543" spans="3:3" x14ac:dyDescent="0.3">
      <c r="C4543" s="14"/>
    </row>
    <row r="4544" spans="3:3" x14ac:dyDescent="0.3">
      <c r="C4544" s="14"/>
    </row>
    <row r="4545" spans="3:3" x14ac:dyDescent="0.3">
      <c r="C4545" s="14"/>
    </row>
    <row r="4546" spans="3:3" x14ac:dyDescent="0.3">
      <c r="C4546" s="14"/>
    </row>
    <row r="4547" spans="3:3" x14ac:dyDescent="0.3">
      <c r="C4547" s="14"/>
    </row>
    <row r="4548" spans="3:3" x14ac:dyDescent="0.3">
      <c r="C4548" s="14"/>
    </row>
    <row r="4549" spans="3:3" x14ac:dyDescent="0.3">
      <c r="C4549" s="14"/>
    </row>
    <row r="4550" spans="3:3" x14ac:dyDescent="0.3">
      <c r="C4550" s="14"/>
    </row>
    <row r="4551" spans="3:3" x14ac:dyDescent="0.3">
      <c r="C4551" s="14"/>
    </row>
    <row r="4552" spans="3:3" x14ac:dyDescent="0.3">
      <c r="C4552" s="14"/>
    </row>
    <row r="4553" spans="3:3" x14ac:dyDescent="0.3">
      <c r="C4553" s="14"/>
    </row>
    <row r="4554" spans="3:3" x14ac:dyDescent="0.3">
      <c r="C4554" s="14"/>
    </row>
    <row r="4555" spans="3:3" x14ac:dyDescent="0.3">
      <c r="C4555" s="14"/>
    </row>
    <row r="4556" spans="3:3" x14ac:dyDescent="0.3">
      <c r="C4556" s="14"/>
    </row>
    <row r="4557" spans="3:3" x14ac:dyDescent="0.3">
      <c r="C4557" s="14"/>
    </row>
    <row r="4558" spans="3:3" x14ac:dyDescent="0.3">
      <c r="C4558" s="14"/>
    </row>
    <row r="4559" spans="3:3" x14ac:dyDescent="0.3">
      <c r="C4559" s="14"/>
    </row>
    <row r="4560" spans="3:3" x14ac:dyDescent="0.3">
      <c r="C4560" s="14"/>
    </row>
    <row r="4561" spans="3:3" x14ac:dyDescent="0.3">
      <c r="C4561" s="14"/>
    </row>
    <row r="4562" spans="3:3" x14ac:dyDescent="0.3">
      <c r="C4562" s="14"/>
    </row>
    <row r="4563" spans="3:3" x14ac:dyDescent="0.3">
      <c r="C4563" s="14"/>
    </row>
    <row r="4564" spans="3:3" x14ac:dyDescent="0.3">
      <c r="C4564" s="14"/>
    </row>
    <row r="4565" spans="3:3" x14ac:dyDescent="0.3">
      <c r="C4565" s="14"/>
    </row>
    <row r="4566" spans="3:3" x14ac:dyDescent="0.3">
      <c r="C4566" s="14"/>
    </row>
    <row r="4567" spans="3:3" x14ac:dyDescent="0.3">
      <c r="C4567" s="14"/>
    </row>
    <row r="4568" spans="3:3" x14ac:dyDescent="0.3">
      <c r="C4568" s="14"/>
    </row>
    <row r="4569" spans="3:3" x14ac:dyDescent="0.3">
      <c r="C4569" s="14"/>
    </row>
    <row r="4570" spans="3:3" x14ac:dyDescent="0.3">
      <c r="C4570" s="14"/>
    </row>
    <row r="4571" spans="3:3" x14ac:dyDescent="0.3">
      <c r="C4571" s="14"/>
    </row>
    <row r="4572" spans="3:3" x14ac:dyDescent="0.3">
      <c r="C4572" s="14"/>
    </row>
    <row r="4573" spans="3:3" x14ac:dyDescent="0.3">
      <c r="C4573" s="14"/>
    </row>
    <row r="4574" spans="3:3" x14ac:dyDescent="0.3">
      <c r="C4574" s="14"/>
    </row>
    <row r="4575" spans="3:3" x14ac:dyDescent="0.3">
      <c r="C4575" s="14"/>
    </row>
    <row r="4576" spans="3:3" x14ac:dyDescent="0.3">
      <c r="C4576" s="14"/>
    </row>
    <row r="4577" spans="3:3" x14ac:dyDescent="0.3">
      <c r="C4577" s="14"/>
    </row>
    <row r="4578" spans="3:3" x14ac:dyDescent="0.3">
      <c r="C4578" s="14"/>
    </row>
    <row r="4579" spans="3:3" x14ac:dyDescent="0.3">
      <c r="C4579" s="14"/>
    </row>
    <row r="4580" spans="3:3" x14ac:dyDescent="0.3">
      <c r="C4580" s="14"/>
    </row>
    <row r="4581" spans="3:3" x14ac:dyDescent="0.3">
      <c r="C4581" s="14"/>
    </row>
    <row r="4582" spans="3:3" x14ac:dyDescent="0.3">
      <c r="C4582" s="14"/>
    </row>
    <row r="4583" spans="3:3" x14ac:dyDescent="0.3">
      <c r="C4583" s="14"/>
    </row>
    <row r="4584" spans="3:3" x14ac:dyDescent="0.3">
      <c r="C4584" s="14"/>
    </row>
    <row r="4585" spans="3:3" x14ac:dyDescent="0.3">
      <c r="C4585" s="14"/>
    </row>
    <row r="4586" spans="3:3" x14ac:dyDescent="0.3">
      <c r="C4586" s="14"/>
    </row>
    <row r="4587" spans="3:3" x14ac:dyDescent="0.3">
      <c r="C4587" s="14"/>
    </row>
    <row r="4588" spans="3:3" x14ac:dyDescent="0.3">
      <c r="C4588" s="14"/>
    </row>
    <row r="4589" spans="3:3" x14ac:dyDescent="0.3">
      <c r="C4589" s="14"/>
    </row>
    <row r="4590" spans="3:3" x14ac:dyDescent="0.3">
      <c r="C4590" s="14"/>
    </row>
    <row r="4591" spans="3:3" x14ac:dyDescent="0.3">
      <c r="C4591" s="14"/>
    </row>
    <row r="4592" spans="3:3" x14ac:dyDescent="0.3">
      <c r="C4592" s="14"/>
    </row>
    <row r="4593" spans="3:3" x14ac:dyDescent="0.3">
      <c r="C4593" s="14"/>
    </row>
    <row r="4594" spans="3:3" x14ac:dyDescent="0.3">
      <c r="C4594" s="14"/>
    </row>
    <row r="4595" spans="3:3" x14ac:dyDescent="0.3">
      <c r="C4595" s="14"/>
    </row>
    <row r="4596" spans="3:3" x14ac:dyDescent="0.3">
      <c r="C4596" s="14"/>
    </row>
    <row r="4597" spans="3:3" x14ac:dyDescent="0.3">
      <c r="C4597" s="14"/>
    </row>
    <row r="4598" spans="3:3" x14ac:dyDescent="0.3">
      <c r="C4598" s="14"/>
    </row>
    <row r="4599" spans="3:3" x14ac:dyDescent="0.3">
      <c r="C4599" s="14"/>
    </row>
    <row r="4600" spans="3:3" x14ac:dyDescent="0.3">
      <c r="C4600" s="14"/>
    </row>
    <row r="4601" spans="3:3" x14ac:dyDescent="0.3">
      <c r="C4601" s="14"/>
    </row>
    <row r="4602" spans="3:3" x14ac:dyDescent="0.3">
      <c r="C4602" s="14"/>
    </row>
    <row r="4603" spans="3:3" x14ac:dyDescent="0.3">
      <c r="C4603" s="14"/>
    </row>
    <row r="4604" spans="3:3" x14ac:dyDescent="0.3">
      <c r="C4604" s="14"/>
    </row>
    <row r="4605" spans="3:3" x14ac:dyDescent="0.3">
      <c r="C4605" s="14"/>
    </row>
    <row r="4606" spans="3:3" x14ac:dyDescent="0.3">
      <c r="C4606" s="14"/>
    </row>
    <row r="4607" spans="3:3" x14ac:dyDescent="0.3">
      <c r="C4607" s="14"/>
    </row>
    <row r="4608" spans="3:3" x14ac:dyDescent="0.3">
      <c r="C4608" s="14"/>
    </row>
    <row r="4609" spans="3:3" x14ac:dyDescent="0.3">
      <c r="C4609" s="14"/>
    </row>
    <row r="4610" spans="3:3" x14ac:dyDescent="0.3">
      <c r="C4610" s="14"/>
    </row>
    <row r="4611" spans="3:3" x14ac:dyDescent="0.3">
      <c r="C4611" s="14"/>
    </row>
    <row r="4612" spans="3:3" x14ac:dyDescent="0.3">
      <c r="C4612" s="14"/>
    </row>
    <row r="4613" spans="3:3" x14ac:dyDescent="0.3">
      <c r="C4613" s="14"/>
    </row>
    <row r="4614" spans="3:3" x14ac:dyDescent="0.3">
      <c r="C4614" s="14"/>
    </row>
    <row r="4615" spans="3:3" x14ac:dyDescent="0.3">
      <c r="C4615" s="14"/>
    </row>
    <row r="4616" spans="3:3" x14ac:dyDescent="0.3">
      <c r="C4616" s="14"/>
    </row>
    <row r="4617" spans="3:3" x14ac:dyDescent="0.3">
      <c r="C4617" s="14"/>
    </row>
    <row r="4618" spans="3:3" x14ac:dyDescent="0.3">
      <c r="C4618" s="14"/>
    </row>
    <row r="4619" spans="3:3" x14ac:dyDescent="0.3">
      <c r="C4619" s="14"/>
    </row>
    <row r="4620" spans="3:3" x14ac:dyDescent="0.3">
      <c r="C4620" s="14"/>
    </row>
    <row r="4621" spans="3:3" x14ac:dyDescent="0.3">
      <c r="C4621" s="14"/>
    </row>
    <row r="4622" spans="3:3" x14ac:dyDescent="0.3">
      <c r="C4622" s="14"/>
    </row>
    <row r="4623" spans="3:3" x14ac:dyDescent="0.3">
      <c r="C4623" s="14"/>
    </row>
    <row r="4624" spans="3:3" x14ac:dyDescent="0.3">
      <c r="C4624" s="14"/>
    </row>
    <row r="4625" spans="3:3" x14ac:dyDescent="0.3">
      <c r="C4625" s="14"/>
    </row>
    <row r="4626" spans="3:3" x14ac:dyDescent="0.3">
      <c r="C4626" s="14"/>
    </row>
    <row r="4627" spans="3:3" x14ac:dyDescent="0.3">
      <c r="C4627" s="14"/>
    </row>
    <row r="4628" spans="3:3" x14ac:dyDescent="0.3">
      <c r="C4628" s="14"/>
    </row>
    <row r="4629" spans="3:3" x14ac:dyDescent="0.3">
      <c r="C4629" s="14"/>
    </row>
    <row r="4630" spans="3:3" x14ac:dyDescent="0.3">
      <c r="C4630" s="14"/>
    </row>
    <row r="4631" spans="3:3" x14ac:dyDescent="0.3">
      <c r="C4631" s="14"/>
    </row>
    <row r="4632" spans="3:3" x14ac:dyDescent="0.3">
      <c r="C4632" s="14"/>
    </row>
    <row r="4633" spans="3:3" x14ac:dyDescent="0.3">
      <c r="C4633" s="14"/>
    </row>
    <row r="4634" spans="3:3" x14ac:dyDescent="0.3">
      <c r="C4634" s="14"/>
    </row>
    <row r="4635" spans="3:3" x14ac:dyDescent="0.3">
      <c r="C4635" s="14"/>
    </row>
    <row r="4636" spans="3:3" x14ac:dyDescent="0.3">
      <c r="C4636" s="14"/>
    </row>
    <row r="4637" spans="3:3" x14ac:dyDescent="0.3">
      <c r="C4637" s="14"/>
    </row>
    <row r="4638" spans="3:3" x14ac:dyDescent="0.3">
      <c r="C4638" s="14"/>
    </row>
    <row r="4639" spans="3:3" x14ac:dyDescent="0.3">
      <c r="C4639" s="14"/>
    </row>
    <row r="4640" spans="3:3" x14ac:dyDescent="0.3">
      <c r="C4640" s="14"/>
    </row>
    <row r="4641" spans="3:3" x14ac:dyDescent="0.3">
      <c r="C4641" s="14"/>
    </row>
    <row r="4642" spans="3:3" x14ac:dyDescent="0.3">
      <c r="C4642" s="14"/>
    </row>
    <row r="4643" spans="3:3" x14ac:dyDescent="0.3">
      <c r="C4643" s="14"/>
    </row>
    <row r="4644" spans="3:3" x14ac:dyDescent="0.3">
      <c r="C4644" s="14"/>
    </row>
    <row r="4645" spans="3:3" x14ac:dyDescent="0.3">
      <c r="C4645" s="14"/>
    </row>
    <row r="4646" spans="3:3" x14ac:dyDescent="0.3">
      <c r="C4646" s="14"/>
    </row>
    <row r="4647" spans="3:3" x14ac:dyDescent="0.3">
      <c r="C4647" s="14"/>
    </row>
    <row r="4648" spans="3:3" x14ac:dyDescent="0.3">
      <c r="C4648" s="14"/>
    </row>
    <row r="4649" spans="3:3" x14ac:dyDescent="0.3">
      <c r="C4649" s="14"/>
    </row>
    <row r="4650" spans="3:3" x14ac:dyDescent="0.3">
      <c r="C4650" s="14"/>
    </row>
    <row r="4651" spans="3:3" x14ac:dyDescent="0.3">
      <c r="C4651" s="14"/>
    </row>
    <row r="4652" spans="3:3" x14ac:dyDescent="0.3">
      <c r="C4652" s="14"/>
    </row>
    <row r="4653" spans="3:3" x14ac:dyDescent="0.3">
      <c r="C4653" s="14"/>
    </row>
    <row r="4654" spans="3:3" x14ac:dyDescent="0.3">
      <c r="C4654" s="14"/>
    </row>
    <row r="4655" spans="3:3" x14ac:dyDescent="0.3">
      <c r="C4655" s="14"/>
    </row>
    <row r="4656" spans="3:3" x14ac:dyDescent="0.3">
      <c r="C4656" s="14"/>
    </row>
    <row r="4657" spans="3:3" x14ac:dyDescent="0.3">
      <c r="C4657" s="14"/>
    </row>
    <row r="4658" spans="3:3" x14ac:dyDescent="0.3">
      <c r="C4658" s="14"/>
    </row>
    <row r="4659" spans="3:3" x14ac:dyDescent="0.3">
      <c r="C4659" s="14"/>
    </row>
    <row r="4660" spans="3:3" x14ac:dyDescent="0.3">
      <c r="C4660" s="14"/>
    </row>
    <row r="4661" spans="3:3" x14ac:dyDescent="0.3">
      <c r="C4661" s="14"/>
    </row>
    <row r="4662" spans="3:3" x14ac:dyDescent="0.3">
      <c r="C4662" s="14"/>
    </row>
    <row r="4663" spans="3:3" x14ac:dyDescent="0.3">
      <c r="C4663" s="14"/>
    </row>
    <row r="4664" spans="3:3" x14ac:dyDescent="0.3">
      <c r="C4664" s="14"/>
    </row>
    <row r="4665" spans="3:3" x14ac:dyDescent="0.3">
      <c r="C4665" s="14"/>
    </row>
    <row r="4666" spans="3:3" x14ac:dyDescent="0.3">
      <c r="C4666" s="14"/>
    </row>
    <row r="4667" spans="3:3" x14ac:dyDescent="0.3">
      <c r="C4667" s="14"/>
    </row>
    <row r="4668" spans="3:3" x14ac:dyDescent="0.3">
      <c r="C4668" s="14"/>
    </row>
    <row r="4669" spans="3:3" x14ac:dyDescent="0.3">
      <c r="C4669" s="14"/>
    </row>
    <row r="4670" spans="3:3" x14ac:dyDescent="0.3">
      <c r="C4670" s="14"/>
    </row>
    <row r="4671" spans="3:3" x14ac:dyDescent="0.3">
      <c r="C4671" s="14"/>
    </row>
    <row r="4672" spans="3:3" x14ac:dyDescent="0.3">
      <c r="C4672" s="14"/>
    </row>
    <row r="4673" spans="3:3" x14ac:dyDescent="0.3">
      <c r="C4673" s="14"/>
    </row>
    <row r="4674" spans="3:3" x14ac:dyDescent="0.3">
      <c r="C4674" s="14"/>
    </row>
    <row r="4675" spans="3:3" x14ac:dyDescent="0.3">
      <c r="C4675" s="14"/>
    </row>
    <row r="4676" spans="3:3" x14ac:dyDescent="0.3">
      <c r="C4676" s="14"/>
    </row>
    <row r="4677" spans="3:3" x14ac:dyDescent="0.3">
      <c r="C4677" s="14"/>
    </row>
    <row r="4678" spans="3:3" x14ac:dyDescent="0.3">
      <c r="C4678" s="14"/>
    </row>
    <row r="4679" spans="3:3" x14ac:dyDescent="0.3">
      <c r="C4679" s="14"/>
    </row>
    <row r="4680" spans="3:3" x14ac:dyDescent="0.3">
      <c r="C4680" s="14"/>
    </row>
    <row r="4681" spans="3:3" x14ac:dyDescent="0.3">
      <c r="C4681" s="14"/>
    </row>
    <row r="4682" spans="3:3" x14ac:dyDescent="0.3">
      <c r="C4682" s="14"/>
    </row>
    <row r="4683" spans="3:3" x14ac:dyDescent="0.3">
      <c r="C4683" s="14"/>
    </row>
    <row r="4684" spans="3:3" x14ac:dyDescent="0.3">
      <c r="C4684" s="14"/>
    </row>
    <row r="4685" spans="3:3" x14ac:dyDescent="0.3">
      <c r="C4685" s="14"/>
    </row>
    <row r="4686" spans="3:3" x14ac:dyDescent="0.3">
      <c r="C4686" s="14"/>
    </row>
    <row r="4687" spans="3:3" x14ac:dyDescent="0.3">
      <c r="C4687" s="14"/>
    </row>
    <row r="4688" spans="3:3" x14ac:dyDescent="0.3">
      <c r="C4688" s="14"/>
    </row>
    <row r="4689" spans="3:3" x14ac:dyDescent="0.3">
      <c r="C4689" s="14"/>
    </row>
    <row r="4690" spans="3:3" x14ac:dyDescent="0.3">
      <c r="C4690" s="14"/>
    </row>
    <row r="4691" spans="3:3" x14ac:dyDescent="0.3">
      <c r="C4691" s="14"/>
    </row>
    <row r="4692" spans="3:3" x14ac:dyDescent="0.3">
      <c r="C4692" s="14"/>
    </row>
    <row r="4693" spans="3:3" x14ac:dyDescent="0.3">
      <c r="C4693" s="14"/>
    </row>
    <row r="4694" spans="3:3" x14ac:dyDescent="0.3">
      <c r="C4694" s="14"/>
    </row>
    <row r="4695" spans="3:3" x14ac:dyDescent="0.3">
      <c r="C4695" s="14"/>
    </row>
    <row r="4696" spans="3:3" x14ac:dyDescent="0.3">
      <c r="C4696" s="14"/>
    </row>
    <row r="4697" spans="3:3" x14ac:dyDescent="0.3">
      <c r="C4697" s="14"/>
    </row>
    <row r="4698" spans="3:3" x14ac:dyDescent="0.3">
      <c r="C4698" s="14"/>
    </row>
    <row r="4699" spans="3:3" x14ac:dyDescent="0.3">
      <c r="C4699" s="14"/>
    </row>
    <row r="4700" spans="3:3" x14ac:dyDescent="0.3">
      <c r="C4700" s="14"/>
    </row>
    <row r="4701" spans="3:3" x14ac:dyDescent="0.3">
      <c r="C4701" s="14"/>
    </row>
    <row r="4702" spans="3:3" x14ac:dyDescent="0.3">
      <c r="C4702" s="14"/>
    </row>
    <row r="4703" spans="3:3" x14ac:dyDescent="0.3">
      <c r="C4703" s="14"/>
    </row>
    <row r="4704" spans="3:3" x14ac:dyDescent="0.3">
      <c r="C4704" s="14"/>
    </row>
    <row r="4705" spans="3:3" x14ac:dyDescent="0.3">
      <c r="C4705" s="14"/>
    </row>
    <row r="4706" spans="3:3" x14ac:dyDescent="0.3">
      <c r="C4706" s="14"/>
    </row>
    <row r="4707" spans="3:3" x14ac:dyDescent="0.3">
      <c r="C4707" s="14"/>
    </row>
    <row r="4708" spans="3:3" x14ac:dyDescent="0.3">
      <c r="C4708" s="14"/>
    </row>
    <row r="4709" spans="3:3" x14ac:dyDescent="0.3">
      <c r="C4709" s="14"/>
    </row>
    <row r="4710" spans="3:3" x14ac:dyDescent="0.3">
      <c r="C4710" s="14"/>
    </row>
    <row r="4711" spans="3:3" x14ac:dyDescent="0.3">
      <c r="C4711" s="14"/>
    </row>
    <row r="4712" spans="3:3" x14ac:dyDescent="0.3">
      <c r="C4712" s="14"/>
    </row>
    <row r="4713" spans="3:3" x14ac:dyDescent="0.3">
      <c r="C4713" s="14"/>
    </row>
    <row r="4714" spans="3:3" x14ac:dyDescent="0.3">
      <c r="C4714" s="14"/>
    </row>
    <row r="4715" spans="3:3" x14ac:dyDescent="0.3">
      <c r="C4715" s="14"/>
    </row>
    <row r="4716" spans="3:3" x14ac:dyDescent="0.3">
      <c r="C4716" s="14"/>
    </row>
    <row r="4717" spans="3:3" x14ac:dyDescent="0.3">
      <c r="C4717" s="14"/>
    </row>
    <row r="4718" spans="3:3" x14ac:dyDescent="0.3">
      <c r="C4718" s="14"/>
    </row>
    <row r="4719" spans="3:3" x14ac:dyDescent="0.3">
      <c r="C4719" s="14"/>
    </row>
    <row r="4720" spans="3:3" x14ac:dyDescent="0.3">
      <c r="C4720" s="14"/>
    </row>
    <row r="4721" spans="3:3" x14ac:dyDescent="0.3">
      <c r="C4721" s="14"/>
    </row>
    <row r="4722" spans="3:3" x14ac:dyDescent="0.3">
      <c r="C4722" s="14"/>
    </row>
    <row r="4723" spans="3:3" x14ac:dyDescent="0.3">
      <c r="C4723" s="14"/>
    </row>
    <row r="4724" spans="3:3" x14ac:dyDescent="0.3">
      <c r="C4724" s="14"/>
    </row>
    <row r="4725" spans="3:3" x14ac:dyDescent="0.3">
      <c r="C4725" s="14"/>
    </row>
    <row r="4726" spans="3:3" x14ac:dyDescent="0.3">
      <c r="C4726" s="14"/>
    </row>
    <row r="4727" spans="3:3" x14ac:dyDescent="0.3">
      <c r="C4727" s="14"/>
    </row>
    <row r="4728" spans="3:3" x14ac:dyDescent="0.3">
      <c r="C4728" s="14"/>
    </row>
    <row r="4729" spans="3:3" x14ac:dyDescent="0.3">
      <c r="C4729" s="14"/>
    </row>
    <row r="4730" spans="3:3" x14ac:dyDescent="0.3">
      <c r="C4730" s="14"/>
    </row>
    <row r="4731" spans="3:3" x14ac:dyDescent="0.3">
      <c r="C4731" s="14"/>
    </row>
    <row r="4732" spans="3:3" x14ac:dyDescent="0.3">
      <c r="C4732" s="14"/>
    </row>
    <row r="4733" spans="3:3" x14ac:dyDescent="0.3">
      <c r="C4733" s="14"/>
    </row>
    <row r="4734" spans="3:3" x14ac:dyDescent="0.3">
      <c r="C4734" s="14"/>
    </row>
    <row r="4735" spans="3:3" x14ac:dyDescent="0.3">
      <c r="C4735" s="14"/>
    </row>
    <row r="4736" spans="3:3" x14ac:dyDescent="0.3">
      <c r="C4736" s="14"/>
    </row>
    <row r="4737" spans="3:3" x14ac:dyDescent="0.3">
      <c r="C4737" s="14"/>
    </row>
    <row r="4738" spans="3:3" x14ac:dyDescent="0.3">
      <c r="C4738" s="14"/>
    </row>
    <row r="4739" spans="3:3" x14ac:dyDescent="0.3">
      <c r="C4739" s="14"/>
    </row>
    <row r="4740" spans="3:3" x14ac:dyDescent="0.3">
      <c r="C4740" s="14"/>
    </row>
    <row r="4741" spans="3:3" x14ac:dyDescent="0.3">
      <c r="C4741" s="14"/>
    </row>
    <row r="4742" spans="3:3" x14ac:dyDescent="0.3">
      <c r="C4742" s="14"/>
    </row>
    <row r="4743" spans="3:3" x14ac:dyDescent="0.3">
      <c r="C4743" s="14"/>
    </row>
    <row r="4744" spans="3:3" x14ac:dyDescent="0.3">
      <c r="C4744" s="14"/>
    </row>
    <row r="4745" spans="3:3" x14ac:dyDescent="0.3">
      <c r="C4745" s="14"/>
    </row>
    <row r="4746" spans="3:3" x14ac:dyDescent="0.3">
      <c r="C4746" s="14"/>
    </row>
    <row r="4747" spans="3:3" x14ac:dyDescent="0.3">
      <c r="C4747" s="14"/>
    </row>
    <row r="4748" spans="3:3" x14ac:dyDescent="0.3">
      <c r="C4748" s="14"/>
    </row>
    <row r="4749" spans="3:3" x14ac:dyDescent="0.3">
      <c r="C4749" s="14"/>
    </row>
    <row r="4750" spans="3:3" x14ac:dyDescent="0.3">
      <c r="C4750" s="14"/>
    </row>
    <row r="4751" spans="3:3" x14ac:dyDescent="0.3">
      <c r="C4751" s="14"/>
    </row>
    <row r="4752" spans="3:3" x14ac:dyDescent="0.3">
      <c r="C4752" s="14"/>
    </row>
    <row r="4753" spans="3:3" x14ac:dyDescent="0.3">
      <c r="C4753" s="14"/>
    </row>
    <row r="4754" spans="3:3" x14ac:dyDescent="0.3">
      <c r="C4754" s="14"/>
    </row>
    <row r="4755" spans="3:3" x14ac:dyDescent="0.3">
      <c r="C4755" s="14"/>
    </row>
    <row r="4756" spans="3:3" x14ac:dyDescent="0.3">
      <c r="C4756" s="14"/>
    </row>
    <row r="4757" spans="3:3" x14ac:dyDescent="0.3">
      <c r="C4757" s="14"/>
    </row>
    <row r="4758" spans="3:3" x14ac:dyDescent="0.3">
      <c r="C4758" s="14"/>
    </row>
    <row r="4759" spans="3:3" x14ac:dyDescent="0.3">
      <c r="C4759" s="14"/>
    </row>
    <row r="4760" spans="3:3" x14ac:dyDescent="0.3">
      <c r="C4760" s="14"/>
    </row>
    <row r="4761" spans="3:3" x14ac:dyDescent="0.3">
      <c r="C4761" s="14"/>
    </row>
    <row r="4762" spans="3:3" x14ac:dyDescent="0.3">
      <c r="C4762" s="14"/>
    </row>
    <row r="4763" spans="3:3" x14ac:dyDescent="0.3">
      <c r="C4763" s="14"/>
    </row>
    <row r="4764" spans="3:3" x14ac:dyDescent="0.3">
      <c r="C4764" s="14"/>
    </row>
    <row r="4765" spans="3:3" x14ac:dyDescent="0.3">
      <c r="C4765" s="14"/>
    </row>
    <row r="4766" spans="3:3" x14ac:dyDescent="0.3">
      <c r="C4766" s="14"/>
    </row>
    <row r="4767" spans="3:3" x14ac:dyDescent="0.3">
      <c r="C4767" s="14"/>
    </row>
    <row r="4768" spans="3:3" x14ac:dyDescent="0.3">
      <c r="C4768" s="14"/>
    </row>
    <row r="4769" spans="3:3" x14ac:dyDescent="0.3">
      <c r="C4769" s="14"/>
    </row>
    <row r="4770" spans="3:3" x14ac:dyDescent="0.3">
      <c r="C4770" s="14"/>
    </row>
    <row r="4771" spans="3:3" x14ac:dyDescent="0.3">
      <c r="C4771" s="14"/>
    </row>
    <row r="4772" spans="3:3" x14ac:dyDescent="0.3">
      <c r="C4772" s="14"/>
    </row>
    <row r="4773" spans="3:3" x14ac:dyDescent="0.3">
      <c r="C4773" s="14"/>
    </row>
    <row r="4774" spans="3:3" x14ac:dyDescent="0.3">
      <c r="C4774" s="14"/>
    </row>
    <row r="4775" spans="3:3" x14ac:dyDescent="0.3">
      <c r="C4775" s="14"/>
    </row>
    <row r="4776" spans="3:3" x14ac:dyDescent="0.3">
      <c r="C4776" s="14"/>
    </row>
    <row r="4777" spans="3:3" x14ac:dyDescent="0.3">
      <c r="C4777" s="14"/>
    </row>
    <row r="4778" spans="3:3" x14ac:dyDescent="0.3">
      <c r="C4778" s="14"/>
    </row>
    <row r="4779" spans="3:3" x14ac:dyDescent="0.3">
      <c r="C4779" s="14"/>
    </row>
    <row r="4780" spans="3:3" x14ac:dyDescent="0.3">
      <c r="C4780" s="14"/>
    </row>
    <row r="4781" spans="3:3" x14ac:dyDescent="0.3">
      <c r="C4781" s="14"/>
    </row>
    <row r="4782" spans="3:3" x14ac:dyDescent="0.3">
      <c r="C4782" s="14"/>
    </row>
    <row r="4783" spans="3:3" x14ac:dyDescent="0.3">
      <c r="C4783" s="14"/>
    </row>
    <row r="4784" spans="3:3" x14ac:dyDescent="0.3">
      <c r="C4784" s="14"/>
    </row>
    <row r="4785" spans="3:3" x14ac:dyDescent="0.3">
      <c r="C4785" s="14"/>
    </row>
    <row r="4786" spans="3:3" x14ac:dyDescent="0.3">
      <c r="C4786" s="14"/>
    </row>
    <row r="4787" spans="3:3" x14ac:dyDescent="0.3">
      <c r="C4787" s="14"/>
    </row>
    <row r="4788" spans="3:3" x14ac:dyDescent="0.3">
      <c r="C4788" s="14"/>
    </row>
    <row r="4789" spans="3:3" x14ac:dyDescent="0.3">
      <c r="C4789" s="14"/>
    </row>
    <row r="4790" spans="3:3" x14ac:dyDescent="0.3">
      <c r="C4790" s="14"/>
    </row>
    <row r="4791" spans="3:3" x14ac:dyDescent="0.3">
      <c r="C4791" s="14"/>
    </row>
    <row r="4792" spans="3:3" x14ac:dyDescent="0.3">
      <c r="C4792" s="14"/>
    </row>
    <row r="4793" spans="3:3" x14ac:dyDescent="0.3">
      <c r="C4793" s="14"/>
    </row>
    <row r="4794" spans="3:3" x14ac:dyDescent="0.3">
      <c r="C4794" s="14"/>
    </row>
    <row r="4795" spans="3:3" x14ac:dyDescent="0.3">
      <c r="C4795" s="14"/>
    </row>
    <row r="4796" spans="3:3" x14ac:dyDescent="0.3">
      <c r="C4796" s="14"/>
    </row>
    <row r="4797" spans="3:3" x14ac:dyDescent="0.3">
      <c r="C4797" s="14"/>
    </row>
    <row r="4798" spans="3:3" x14ac:dyDescent="0.3">
      <c r="C4798" s="14"/>
    </row>
    <row r="4799" spans="3:3" x14ac:dyDescent="0.3">
      <c r="C4799" s="14"/>
    </row>
    <row r="4800" spans="3:3" x14ac:dyDescent="0.3">
      <c r="C4800" s="14"/>
    </row>
    <row r="4801" spans="3:3" x14ac:dyDescent="0.3">
      <c r="C4801" s="14"/>
    </row>
    <row r="4802" spans="3:3" x14ac:dyDescent="0.3">
      <c r="C4802" s="14"/>
    </row>
    <row r="4803" spans="3:3" x14ac:dyDescent="0.3">
      <c r="C4803" s="14"/>
    </row>
    <row r="4804" spans="3:3" x14ac:dyDescent="0.3">
      <c r="C4804" s="14"/>
    </row>
    <row r="4805" spans="3:3" x14ac:dyDescent="0.3">
      <c r="C4805" s="14"/>
    </row>
    <row r="4806" spans="3:3" x14ac:dyDescent="0.3">
      <c r="C4806" s="14"/>
    </row>
    <row r="4807" spans="3:3" x14ac:dyDescent="0.3">
      <c r="C4807" s="14"/>
    </row>
    <row r="4808" spans="3:3" x14ac:dyDescent="0.3">
      <c r="C4808" s="14"/>
    </row>
    <row r="4809" spans="3:3" x14ac:dyDescent="0.3">
      <c r="C4809" s="14"/>
    </row>
    <row r="4810" spans="3:3" x14ac:dyDescent="0.3">
      <c r="C4810" s="14"/>
    </row>
    <row r="4811" spans="3:3" x14ac:dyDescent="0.3">
      <c r="C4811" s="14"/>
    </row>
    <row r="4812" spans="3:3" x14ac:dyDescent="0.3">
      <c r="C4812" s="14"/>
    </row>
    <row r="4813" spans="3:3" x14ac:dyDescent="0.3">
      <c r="C4813" s="14"/>
    </row>
    <row r="4814" spans="3:3" x14ac:dyDescent="0.3">
      <c r="C4814" s="14"/>
    </row>
    <row r="4815" spans="3:3" x14ac:dyDescent="0.3">
      <c r="C4815" s="14"/>
    </row>
    <row r="4816" spans="3:3" x14ac:dyDescent="0.3">
      <c r="C4816" s="14"/>
    </row>
    <row r="4817" spans="3:3" x14ac:dyDescent="0.3">
      <c r="C4817" s="14"/>
    </row>
    <row r="4818" spans="3:3" x14ac:dyDescent="0.3">
      <c r="C4818" s="14"/>
    </row>
    <row r="4819" spans="3:3" x14ac:dyDescent="0.3">
      <c r="C4819" s="14"/>
    </row>
    <row r="4820" spans="3:3" x14ac:dyDescent="0.3">
      <c r="C4820" s="14"/>
    </row>
    <row r="4821" spans="3:3" x14ac:dyDescent="0.3">
      <c r="C4821" s="14"/>
    </row>
    <row r="4822" spans="3:3" x14ac:dyDescent="0.3">
      <c r="C4822" s="14"/>
    </row>
    <row r="4823" spans="3:3" x14ac:dyDescent="0.3">
      <c r="C4823" s="14"/>
    </row>
    <row r="4824" spans="3:3" x14ac:dyDescent="0.3">
      <c r="C4824" s="14"/>
    </row>
    <row r="4825" spans="3:3" x14ac:dyDescent="0.3">
      <c r="C4825" s="14"/>
    </row>
    <row r="4826" spans="3:3" x14ac:dyDescent="0.3">
      <c r="C4826" s="14"/>
    </row>
    <row r="4827" spans="3:3" x14ac:dyDescent="0.3">
      <c r="C4827" s="14"/>
    </row>
    <row r="4828" spans="3:3" x14ac:dyDescent="0.3">
      <c r="C4828" s="14"/>
    </row>
    <row r="4829" spans="3:3" x14ac:dyDescent="0.3">
      <c r="C4829" s="14"/>
    </row>
    <row r="4830" spans="3:3" x14ac:dyDescent="0.3">
      <c r="C4830" s="14"/>
    </row>
    <row r="4831" spans="3:3" x14ac:dyDescent="0.3">
      <c r="C4831" s="14"/>
    </row>
    <row r="4832" spans="3:3" x14ac:dyDescent="0.3">
      <c r="C4832" s="14"/>
    </row>
    <row r="4833" spans="3:3" x14ac:dyDescent="0.3">
      <c r="C4833" s="14"/>
    </row>
    <row r="4834" spans="3:3" x14ac:dyDescent="0.3">
      <c r="C4834" s="14"/>
    </row>
    <row r="4835" spans="3:3" x14ac:dyDescent="0.3">
      <c r="C4835" s="14"/>
    </row>
    <row r="4836" spans="3:3" x14ac:dyDescent="0.3">
      <c r="C4836" s="14"/>
    </row>
    <row r="4837" spans="3:3" x14ac:dyDescent="0.3">
      <c r="C4837" s="14"/>
    </row>
    <row r="4838" spans="3:3" x14ac:dyDescent="0.3">
      <c r="C4838" s="14"/>
    </row>
    <row r="4839" spans="3:3" x14ac:dyDescent="0.3">
      <c r="C4839" s="14"/>
    </row>
    <row r="4840" spans="3:3" x14ac:dyDescent="0.3">
      <c r="C4840" s="14"/>
    </row>
    <row r="4841" spans="3:3" x14ac:dyDescent="0.3">
      <c r="C4841" s="14"/>
    </row>
    <row r="4842" spans="3:3" x14ac:dyDescent="0.3">
      <c r="C4842" s="14"/>
    </row>
    <row r="4843" spans="3:3" x14ac:dyDescent="0.3">
      <c r="C4843" s="14"/>
    </row>
    <row r="4844" spans="3:3" x14ac:dyDescent="0.3">
      <c r="C4844" s="14"/>
    </row>
    <row r="4845" spans="3:3" x14ac:dyDescent="0.3">
      <c r="C4845" s="14"/>
    </row>
    <row r="4846" spans="3:3" x14ac:dyDescent="0.3">
      <c r="C4846" s="14"/>
    </row>
    <row r="4847" spans="3:3" x14ac:dyDescent="0.3">
      <c r="C4847" s="14"/>
    </row>
    <row r="4848" spans="3:3" x14ac:dyDescent="0.3">
      <c r="C4848" s="14"/>
    </row>
    <row r="4849" spans="3:3" x14ac:dyDescent="0.3">
      <c r="C4849" s="14"/>
    </row>
    <row r="4850" spans="3:3" x14ac:dyDescent="0.3">
      <c r="C4850" s="14"/>
    </row>
    <row r="4851" spans="3:3" x14ac:dyDescent="0.3">
      <c r="C4851" s="14"/>
    </row>
    <row r="4852" spans="3:3" x14ac:dyDescent="0.3">
      <c r="C4852" s="14"/>
    </row>
    <row r="4853" spans="3:3" x14ac:dyDescent="0.3">
      <c r="C4853" s="14"/>
    </row>
    <row r="4854" spans="3:3" x14ac:dyDescent="0.3">
      <c r="C4854" s="14"/>
    </row>
    <row r="4855" spans="3:3" x14ac:dyDescent="0.3">
      <c r="C4855" s="14"/>
    </row>
    <row r="4856" spans="3:3" x14ac:dyDescent="0.3">
      <c r="C4856" s="14"/>
    </row>
    <row r="4857" spans="3:3" x14ac:dyDescent="0.3">
      <c r="C4857" s="14"/>
    </row>
    <row r="4858" spans="3:3" x14ac:dyDescent="0.3">
      <c r="C4858" s="14"/>
    </row>
    <row r="4859" spans="3:3" x14ac:dyDescent="0.3">
      <c r="C4859" s="14"/>
    </row>
    <row r="4860" spans="3:3" x14ac:dyDescent="0.3">
      <c r="C4860" s="14"/>
    </row>
    <row r="4861" spans="3:3" x14ac:dyDescent="0.3">
      <c r="C4861" s="14"/>
    </row>
    <row r="4862" spans="3:3" x14ac:dyDescent="0.3">
      <c r="C4862" s="14"/>
    </row>
    <row r="4863" spans="3:3" x14ac:dyDescent="0.3">
      <c r="C4863" s="14"/>
    </row>
    <row r="4864" spans="3:3" x14ac:dyDescent="0.3">
      <c r="C4864" s="14"/>
    </row>
    <row r="4865" spans="3:3" x14ac:dyDescent="0.3">
      <c r="C4865" s="14"/>
    </row>
    <row r="4866" spans="3:3" x14ac:dyDescent="0.3">
      <c r="C4866" s="14"/>
    </row>
    <row r="4867" spans="3:3" x14ac:dyDescent="0.3">
      <c r="C4867" s="14"/>
    </row>
    <row r="4868" spans="3:3" x14ac:dyDescent="0.3">
      <c r="C4868" s="14"/>
    </row>
    <row r="4869" spans="3:3" x14ac:dyDescent="0.3">
      <c r="C4869" s="14"/>
    </row>
    <row r="4870" spans="3:3" x14ac:dyDescent="0.3">
      <c r="C4870" s="14"/>
    </row>
    <row r="4871" spans="3:3" x14ac:dyDescent="0.3">
      <c r="C4871" s="14"/>
    </row>
    <row r="4872" spans="3:3" x14ac:dyDescent="0.3">
      <c r="C4872" s="14"/>
    </row>
    <row r="4873" spans="3:3" x14ac:dyDescent="0.3">
      <c r="C4873" s="14"/>
    </row>
    <row r="4874" spans="3:3" x14ac:dyDescent="0.3">
      <c r="C4874" s="14"/>
    </row>
    <row r="4875" spans="3:3" x14ac:dyDescent="0.3">
      <c r="C4875" s="14"/>
    </row>
    <row r="4876" spans="3:3" x14ac:dyDescent="0.3">
      <c r="C4876" s="14"/>
    </row>
    <row r="4877" spans="3:3" x14ac:dyDescent="0.3">
      <c r="C4877" s="14"/>
    </row>
    <row r="4878" spans="3:3" x14ac:dyDescent="0.3">
      <c r="C4878" s="14"/>
    </row>
    <row r="4879" spans="3:3" x14ac:dyDescent="0.3">
      <c r="C4879" s="14"/>
    </row>
    <row r="4880" spans="3:3" x14ac:dyDescent="0.3">
      <c r="C4880" s="14"/>
    </row>
    <row r="4881" spans="3:3" x14ac:dyDescent="0.3">
      <c r="C4881" s="14"/>
    </row>
    <row r="4882" spans="3:3" x14ac:dyDescent="0.3">
      <c r="C4882" s="14"/>
    </row>
    <row r="4883" spans="3:3" x14ac:dyDescent="0.3">
      <c r="C4883" s="14"/>
    </row>
    <row r="4884" spans="3:3" x14ac:dyDescent="0.3">
      <c r="C4884" s="14"/>
    </row>
    <row r="4885" spans="3:3" x14ac:dyDescent="0.3">
      <c r="C4885" s="14"/>
    </row>
    <row r="4886" spans="3:3" x14ac:dyDescent="0.3">
      <c r="C4886" s="14"/>
    </row>
    <row r="4887" spans="3:3" x14ac:dyDescent="0.3">
      <c r="C4887" s="14"/>
    </row>
    <row r="4888" spans="3:3" x14ac:dyDescent="0.3">
      <c r="C4888" s="14"/>
    </row>
    <row r="4889" spans="3:3" x14ac:dyDescent="0.3">
      <c r="C4889" s="14"/>
    </row>
    <row r="4890" spans="3:3" x14ac:dyDescent="0.3">
      <c r="C4890" s="14"/>
    </row>
    <row r="4891" spans="3:3" x14ac:dyDescent="0.3">
      <c r="C4891" s="14"/>
    </row>
    <row r="4892" spans="3:3" x14ac:dyDescent="0.3">
      <c r="C4892" s="14"/>
    </row>
    <row r="4893" spans="3:3" x14ac:dyDescent="0.3">
      <c r="C4893" s="14"/>
    </row>
    <row r="4894" spans="3:3" x14ac:dyDescent="0.3">
      <c r="C4894" s="14"/>
    </row>
    <row r="4895" spans="3:3" x14ac:dyDescent="0.3">
      <c r="C4895" s="14"/>
    </row>
    <row r="4896" spans="3:3" x14ac:dyDescent="0.3">
      <c r="C4896" s="14"/>
    </row>
    <row r="4897" spans="3:3" x14ac:dyDescent="0.3">
      <c r="C4897" s="14"/>
    </row>
    <row r="4898" spans="3:3" x14ac:dyDescent="0.3">
      <c r="C4898" s="14"/>
    </row>
    <row r="4899" spans="3:3" x14ac:dyDescent="0.3">
      <c r="C4899" s="14"/>
    </row>
    <row r="4900" spans="3:3" x14ac:dyDescent="0.3">
      <c r="C4900" s="14"/>
    </row>
    <row r="4901" spans="3:3" x14ac:dyDescent="0.3">
      <c r="C4901" s="14"/>
    </row>
    <row r="4902" spans="3:3" x14ac:dyDescent="0.3">
      <c r="C4902" s="14"/>
    </row>
    <row r="4903" spans="3:3" x14ac:dyDescent="0.3">
      <c r="C4903" s="14"/>
    </row>
    <row r="4904" spans="3:3" x14ac:dyDescent="0.3">
      <c r="C4904" s="14"/>
    </row>
    <row r="4905" spans="3:3" x14ac:dyDescent="0.3">
      <c r="C4905" s="14"/>
    </row>
    <row r="4906" spans="3:3" x14ac:dyDescent="0.3">
      <c r="C4906" s="14"/>
    </row>
    <row r="4907" spans="3:3" x14ac:dyDescent="0.3">
      <c r="C4907" s="14"/>
    </row>
    <row r="4908" spans="3:3" x14ac:dyDescent="0.3">
      <c r="C4908" s="14"/>
    </row>
    <row r="4909" spans="3:3" x14ac:dyDescent="0.3">
      <c r="C4909" s="14"/>
    </row>
    <row r="4910" spans="3:3" x14ac:dyDescent="0.3">
      <c r="C4910" s="14"/>
    </row>
    <row r="4911" spans="3:3" x14ac:dyDescent="0.3">
      <c r="C4911" s="14"/>
    </row>
    <row r="4912" spans="3:3" x14ac:dyDescent="0.3">
      <c r="C4912" s="14"/>
    </row>
    <row r="4913" spans="3:3" x14ac:dyDescent="0.3">
      <c r="C4913" s="14"/>
    </row>
    <row r="4914" spans="3:3" x14ac:dyDescent="0.3">
      <c r="C4914" s="14"/>
    </row>
    <row r="4915" spans="3:3" x14ac:dyDescent="0.3">
      <c r="C4915" s="14"/>
    </row>
    <row r="4916" spans="3:3" x14ac:dyDescent="0.3">
      <c r="C4916" s="14"/>
    </row>
    <row r="4917" spans="3:3" x14ac:dyDescent="0.3">
      <c r="C4917" s="14"/>
    </row>
    <row r="4918" spans="3:3" x14ac:dyDescent="0.3">
      <c r="C4918" s="14"/>
    </row>
    <row r="4919" spans="3:3" x14ac:dyDescent="0.3">
      <c r="C4919" s="14"/>
    </row>
    <row r="4920" spans="3:3" x14ac:dyDescent="0.3">
      <c r="C4920" s="14"/>
    </row>
    <row r="4921" spans="3:3" x14ac:dyDescent="0.3">
      <c r="C4921" s="14"/>
    </row>
    <row r="4922" spans="3:3" x14ac:dyDescent="0.3">
      <c r="C4922" s="14"/>
    </row>
    <row r="4923" spans="3:3" x14ac:dyDescent="0.3">
      <c r="C4923" s="14"/>
    </row>
    <row r="4924" spans="3:3" x14ac:dyDescent="0.3">
      <c r="C4924" s="14"/>
    </row>
    <row r="4925" spans="3:3" x14ac:dyDescent="0.3">
      <c r="C4925" s="14"/>
    </row>
    <row r="4926" spans="3:3" x14ac:dyDescent="0.3">
      <c r="C4926" s="14"/>
    </row>
    <row r="4927" spans="3:3" x14ac:dyDescent="0.3">
      <c r="C4927" s="14"/>
    </row>
    <row r="4928" spans="3:3" x14ac:dyDescent="0.3">
      <c r="C4928" s="14"/>
    </row>
    <row r="4929" spans="3:3" x14ac:dyDescent="0.3">
      <c r="C4929" s="14"/>
    </row>
    <row r="4930" spans="3:3" x14ac:dyDescent="0.3">
      <c r="C4930" s="14"/>
    </row>
    <row r="4931" spans="3:3" x14ac:dyDescent="0.3">
      <c r="C4931" s="14"/>
    </row>
    <row r="4932" spans="3:3" x14ac:dyDescent="0.3">
      <c r="C4932" s="14"/>
    </row>
    <row r="4933" spans="3:3" x14ac:dyDescent="0.3">
      <c r="C4933" s="14"/>
    </row>
    <row r="4934" spans="3:3" x14ac:dyDescent="0.3">
      <c r="C4934" s="14"/>
    </row>
    <row r="4935" spans="3:3" x14ac:dyDescent="0.3">
      <c r="C4935" s="14"/>
    </row>
    <row r="4936" spans="3:3" x14ac:dyDescent="0.3">
      <c r="C4936" s="14"/>
    </row>
    <row r="4937" spans="3:3" x14ac:dyDescent="0.3">
      <c r="C4937" s="14"/>
    </row>
    <row r="4938" spans="3:3" x14ac:dyDescent="0.3">
      <c r="C4938" s="14"/>
    </row>
    <row r="4939" spans="3:3" x14ac:dyDescent="0.3">
      <c r="C4939" s="14"/>
    </row>
    <row r="4940" spans="3:3" x14ac:dyDescent="0.3">
      <c r="C4940" s="14"/>
    </row>
    <row r="4941" spans="3:3" x14ac:dyDescent="0.3">
      <c r="C4941" s="14"/>
    </row>
    <row r="4942" spans="3:3" x14ac:dyDescent="0.3">
      <c r="C4942" s="14"/>
    </row>
    <row r="4943" spans="3:3" x14ac:dyDescent="0.3">
      <c r="C4943" s="14"/>
    </row>
    <row r="4944" spans="3:3" x14ac:dyDescent="0.3">
      <c r="C4944" s="14"/>
    </row>
    <row r="4945" spans="3:3" x14ac:dyDescent="0.3">
      <c r="C4945" s="14"/>
    </row>
    <row r="4946" spans="3:3" x14ac:dyDescent="0.3">
      <c r="C4946" s="14"/>
    </row>
    <row r="4947" spans="3:3" x14ac:dyDescent="0.3">
      <c r="C4947" s="14"/>
    </row>
    <row r="4948" spans="3:3" x14ac:dyDescent="0.3">
      <c r="C4948" s="14"/>
    </row>
    <row r="4949" spans="3:3" x14ac:dyDescent="0.3">
      <c r="C4949" s="14"/>
    </row>
    <row r="4950" spans="3:3" x14ac:dyDescent="0.3">
      <c r="C4950" s="14"/>
    </row>
    <row r="4951" spans="3:3" x14ac:dyDescent="0.3">
      <c r="C4951" s="14"/>
    </row>
    <row r="4952" spans="3:3" x14ac:dyDescent="0.3">
      <c r="C4952" s="14"/>
    </row>
    <row r="4953" spans="3:3" x14ac:dyDescent="0.3">
      <c r="C4953" s="14"/>
    </row>
    <row r="4954" spans="3:3" x14ac:dyDescent="0.3">
      <c r="C4954" s="14"/>
    </row>
    <row r="4955" spans="3:3" x14ac:dyDescent="0.3">
      <c r="C4955" s="14"/>
    </row>
    <row r="4956" spans="3:3" x14ac:dyDescent="0.3">
      <c r="C4956" s="14"/>
    </row>
    <row r="4957" spans="3:3" x14ac:dyDescent="0.3">
      <c r="C4957" s="14"/>
    </row>
    <row r="4958" spans="3:3" x14ac:dyDescent="0.3">
      <c r="C4958" s="14"/>
    </row>
    <row r="4959" spans="3:3" x14ac:dyDescent="0.3">
      <c r="C4959" s="14"/>
    </row>
    <row r="4960" spans="3:3" x14ac:dyDescent="0.3">
      <c r="C4960" s="14"/>
    </row>
    <row r="4961" spans="3:3" x14ac:dyDescent="0.3">
      <c r="C4961" s="14"/>
    </row>
    <row r="4962" spans="3:3" x14ac:dyDescent="0.3">
      <c r="C4962" s="14"/>
    </row>
    <row r="4963" spans="3:3" x14ac:dyDescent="0.3">
      <c r="C4963" s="14"/>
    </row>
    <row r="4964" spans="3:3" x14ac:dyDescent="0.3">
      <c r="C4964" s="14"/>
    </row>
    <row r="4965" spans="3:3" x14ac:dyDescent="0.3">
      <c r="C4965" s="14"/>
    </row>
    <row r="4966" spans="3:3" x14ac:dyDescent="0.3">
      <c r="C4966" s="14"/>
    </row>
    <row r="4967" spans="3:3" x14ac:dyDescent="0.3">
      <c r="C4967" s="14"/>
    </row>
    <row r="4968" spans="3:3" x14ac:dyDescent="0.3">
      <c r="C4968" s="14"/>
    </row>
    <row r="4969" spans="3:3" x14ac:dyDescent="0.3">
      <c r="C4969" s="14"/>
    </row>
    <row r="4970" spans="3:3" x14ac:dyDescent="0.3">
      <c r="C4970" s="14"/>
    </row>
    <row r="4971" spans="3:3" x14ac:dyDescent="0.3">
      <c r="C4971" s="14"/>
    </row>
    <row r="4972" spans="3:3" x14ac:dyDescent="0.3">
      <c r="C4972" s="14"/>
    </row>
    <row r="4973" spans="3:3" x14ac:dyDescent="0.3">
      <c r="C4973" s="14"/>
    </row>
    <row r="4974" spans="3:3" x14ac:dyDescent="0.3">
      <c r="C4974" s="14"/>
    </row>
    <row r="4975" spans="3:3" x14ac:dyDescent="0.3">
      <c r="C4975" s="14"/>
    </row>
    <row r="4976" spans="3:3" x14ac:dyDescent="0.3">
      <c r="C4976" s="14"/>
    </row>
    <row r="4977" spans="3:3" x14ac:dyDescent="0.3">
      <c r="C4977" s="14"/>
    </row>
    <row r="4978" spans="3:3" x14ac:dyDescent="0.3">
      <c r="C4978" s="14"/>
    </row>
    <row r="4979" spans="3:3" x14ac:dyDescent="0.3">
      <c r="C4979" s="14"/>
    </row>
    <row r="4980" spans="3:3" x14ac:dyDescent="0.3">
      <c r="C4980" s="14"/>
    </row>
    <row r="4981" spans="3:3" x14ac:dyDescent="0.3">
      <c r="C4981" s="14"/>
    </row>
    <row r="4982" spans="3:3" x14ac:dyDescent="0.3">
      <c r="C4982" s="14"/>
    </row>
    <row r="4983" spans="3:3" x14ac:dyDescent="0.3">
      <c r="C4983" s="14"/>
    </row>
    <row r="4984" spans="3:3" x14ac:dyDescent="0.3">
      <c r="C4984" s="14"/>
    </row>
    <row r="4985" spans="3:3" x14ac:dyDescent="0.3">
      <c r="C4985" s="14"/>
    </row>
    <row r="4986" spans="3:3" x14ac:dyDescent="0.3">
      <c r="C4986" s="14"/>
    </row>
    <row r="4987" spans="3:3" x14ac:dyDescent="0.3">
      <c r="C4987" s="14"/>
    </row>
    <row r="4988" spans="3:3" x14ac:dyDescent="0.3">
      <c r="C4988" s="14"/>
    </row>
    <row r="4989" spans="3:3" x14ac:dyDescent="0.3">
      <c r="C4989" s="14"/>
    </row>
    <row r="4990" spans="3:3" x14ac:dyDescent="0.3">
      <c r="C4990" s="14"/>
    </row>
    <row r="4991" spans="3:3" x14ac:dyDescent="0.3">
      <c r="C4991" s="14"/>
    </row>
    <row r="4992" spans="3:3" x14ac:dyDescent="0.3">
      <c r="C4992" s="14"/>
    </row>
    <row r="4993" spans="3:3" x14ac:dyDescent="0.3">
      <c r="C4993" s="14"/>
    </row>
    <row r="4994" spans="3:3" x14ac:dyDescent="0.3">
      <c r="C4994" s="14"/>
    </row>
    <row r="4995" spans="3:3" x14ac:dyDescent="0.3">
      <c r="C4995" s="14"/>
    </row>
    <row r="4996" spans="3:3" x14ac:dyDescent="0.3">
      <c r="C4996" s="14"/>
    </row>
    <row r="4997" spans="3:3" x14ac:dyDescent="0.3">
      <c r="C4997" s="14"/>
    </row>
    <row r="4998" spans="3:3" x14ac:dyDescent="0.3">
      <c r="C4998" s="14"/>
    </row>
    <row r="4999" spans="3:3" x14ac:dyDescent="0.3">
      <c r="C4999" s="14"/>
    </row>
    <row r="5000" spans="3:3" x14ac:dyDescent="0.3">
      <c r="C5000" s="14"/>
    </row>
    <row r="5001" spans="3:3" x14ac:dyDescent="0.3">
      <c r="C5001" s="14"/>
    </row>
    <row r="5002" spans="3:3" x14ac:dyDescent="0.3">
      <c r="C5002" s="14"/>
    </row>
    <row r="5003" spans="3:3" x14ac:dyDescent="0.3">
      <c r="C5003" s="14"/>
    </row>
    <row r="5004" spans="3:3" x14ac:dyDescent="0.3">
      <c r="C5004" s="14"/>
    </row>
    <row r="5005" spans="3:3" x14ac:dyDescent="0.3">
      <c r="C5005" s="14"/>
    </row>
    <row r="5006" spans="3:3" x14ac:dyDescent="0.3">
      <c r="C5006" s="14"/>
    </row>
    <row r="5007" spans="3:3" x14ac:dyDescent="0.3">
      <c r="C5007" s="14"/>
    </row>
    <row r="5008" spans="3:3" x14ac:dyDescent="0.3">
      <c r="C5008" s="14"/>
    </row>
    <row r="5009" spans="3:3" x14ac:dyDescent="0.3">
      <c r="C5009" s="14"/>
    </row>
    <row r="5010" spans="3:3" x14ac:dyDescent="0.3">
      <c r="C5010" s="14"/>
    </row>
    <row r="5011" spans="3:3" x14ac:dyDescent="0.3">
      <c r="C5011" s="14"/>
    </row>
    <row r="5012" spans="3:3" x14ac:dyDescent="0.3">
      <c r="C5012" s="14"/>
    </row>
    <row r="5013" spans="3:3" x14ac:dyDescent="0.3">
      <c r="C5013" s="14"/>
    </row>
    <row r="5014" spans="3:3" x14ac:dyDescent="0.3">
      <c r="C5014" s="14"/>
    </row>
    <row r="5015" spans="3:3" x14ac:dyDescent="0.3">
      <c r="C5015" s="14"/>
    </row>
    <row r="5016" spans="3:3" x14ac:dyDescent="0.3">
      <c r="C5016" s="14"/>
    </row>
    <row r="5017" spans="3:3" x14ac:dyDescent="0.3">
      <c r="C5017" s="14"/>
    </row>
    <row r="5018" spans="3:3" x14ac:dyDescent="0.3">
      <c r="C5018" s="14"/>
    </row>
    <row r="5019" spans="3:3" x14ac:dyDescent="0.3">
      <c r="C5019" s="14"/>
    </row>
    <row r="5020" spans="3:3" x14ac:dyDescent="0.3">
      <c r="C5020" s="14"/>
    </row>
    <row r="5021" spans="3:3" x14ac:dyDescent="0.3">
      <c r="C5021" s="14"/>
    </row>
    <row r="5022" spans="3:3" x14ac:dyDescent="0.3">
      <c r="C5022" s="14"/>
    </row>
    <row r="5023" spans="3:3" x14ac:dyDescent="0.3">
      <c r="C5023" s="14"/>
    </row>
    <row r="5024" spans="3:3" x14ac:dyDescent="0.3">
      <c r="C5024" s="14"/>
    </row>
    <row r="5025" spans="3:3" x14ac:dyDescent="0.3">
      <c r="C5025" s="14"/>
    </row>
    <row r="5026" spans="3:3" x14ac:dyDescent="0.3">
      <c r="C5026" s="14"/>
    </row>
    <row r="5027" spans="3:3" x14ac:dyDescent="0.3">
      <c r="C5027" s="14"/>
    </row>
    <row r="5028" spans="3:3" x14ac:dyDescent="0.3">
      <c r="C5028" s="14"/>
    </row>
    <row r="5029" spans="3:3" x14ac:dyDescent="0.3">
      <c r="C5029" s="14"/>
    </row>
    <row r="5030" spans="3:3" x14ac:dyDescent="0.3">
      <c r="C5030" s="14"/>
    </row>
    <row r="5031" spans="3:3" x14ac:dyDescent="0.3">
      <c r="C5031" s="14"/>
    </row>
    <row r="5032" spans="3:3" x14ac:dyDescent="0.3">
      <c r="C5032" s="14"/>
    </row>
    <row r="5033" spans="3:3" x14ac:dyDescent="0.3">
      <c r="C5033" s="14"/>
    </row>
    <row r="5034" spans="3:3" x14ac:dyDescent="0.3">
      <c r="C5034" s="14"/>
    </row>
    <row r="5035" spans="3:3" x14ac:dyDescent="0.3">
      <c r="C5035" s="14"/>
    </row>
    <row r="5036" spans="3:3" x14ac:dyDescent="0.3">
      <c r="C5036" s="14"/>
    </row>
    <row r="5037" spans="3:3" x14ac:dyDescent="0.3">
      <c r="C5037" s="14"/>
    </row>
    <row r="5038" spans="3:3" x14ac:dyDescent="0.3">
      <c r="C5038" s="14"/>
    </row>
    <row r="5039" spans="3:3" x14ac:dyDescent="0.3">
      <c r="C5039" s="14"/>
    </row>
    <row r="5040" spans="3:3" x14ac:dyDescent="0.3">
      <c r="C5040" s="14"/>
    </row>
    <row r="5041" spans="3:3" x14ac:dyDescent="0.3">
      <c r="C5041" s="14"/>
    </row>
    <row r="5042" spans="3:3" x14ac:dyDescent="0.3">
      <c r="C5042" s="14"/>
    </row>
    <row r="5043" spans="3:3" x14ac:dyDescent="0.3">
      <c r="C5043" s="14"/>
    </row>
    <row r="5044" spans="3:3" x14ac:dyDescent="0.3">
      <c r="C5044" s="14"/>
    </row>
    <row r="5045" spans="3:3" x14ac:dyDescent="0.3">
      <c r="C5045" s="14"/>
    </row>
    <row r="5046" spans="3:3" x14ac:dyDescent="0.3">
      <c r="C5046" s="14"/>
    </row>
    <row r="5047" spans="3:3" x14ac:dyDescent="0.3">
      <c r="C5047" s="14"/>
    </row>
    <row r="5048" spans="3:3" x14ac:dyDescent="0.3">
      <c r="C5048" s="14"/>
    </row>
    <row r="5049" spans="3:3" x14ac:dyDescent="0.3">
      <c r="C5049" s="14"/>
    </row>
    <row r="5050" spans="3:3" x14ac:dyDescent="0.3">
      <c r="C5050" s="14"/>
    </row>
    <row r="5051" spans="3:3" x14ac:dyDescent="0.3">
      <c r="C5051" s="14"/>
    </row>
    <row r="5052" spans="3:3" x14ac:dyDescent="0.3">
      <c r="C5052" s="14"/>
    </row>
    <row r="5053" spans="3:3" x14ac:dyDescent="0.3">
      <c r="C5053" s="14"/>
    </row>
    <row r="5054" spans="3:3" x14ac:dyDescent="0.3">
      <c r="C5054" s="14"/>
    </row>
    <row r="5055" spans="3:3" x14ac:dyDescent="0.3">
      <c r="C5055" s="14"/>
    </row>
    <row r="5056" spans="3:3" x14ac:dyDescent="0.3">
      <c r="C5056" s="14"/>
    </row>
    <row r="5057" spans="3:3" x14ac:dyDescent="0.3">
      <c r="C5057" s="14"/>
    </row>
    <row r="5058" spans="3:3" x14ac:dyDescent="0.3">
      <c r="C5058" s="14"/>
    </row>
    <row r="5059" spans="3:3" x14ac:dyDescent="0.3">
      <c r="C5059" s="14"/>
    </row>
    <row r="5060" spans="3:3" x14ac:dyDescent="0.3">
      <c r="C5060" s="14"/>
    </row>
    <row r="5061" spans="3:3" x14ac:dyDescent="0.3">
      <c r="C5061" s="14"/>
    </row>
    <row r="5062" spans="3:3" x14ac:dyDescent="0.3">
      <c r="C5062" s="14"/>
    </row>
    <row r="5063" spans="3:3" x14ac:dyDescent="0.3">
      <c r="C5063" s="14"/>
    </row>
    <row r="5064" spans="3:3" x14ac:dyDescent="0.3">
      <c r="C5064" s="14"/>
    </row>
    <row r="5065" spans="3:3" x14ac:dyDescent="0.3">
      <c r="C5065" s="14"/>
    </row>
    <row r="5066" spans="3:3" x14ac:dyDescent="0.3">
      <c r="C5066" s="14"/>
    </row>
    <row r="5067" spans="3:3" x14ac:dyDescent="0.3">
      <c r="C5067" s="14"/>
    </row>
    <row r="5068" spans="3:3" x14ac:dyDescent="0.3">
      <c r="C5068" s="14"/>
    </row>
    <row r="5069" spans="3:3" x14ac:dyDescent="0.3">
      <c r="C5069" s="14"/>
    </row>
    <row r="5070" spans="3:3" x14ac:dyDescent="0.3">
      <c r="C5070" s="14"/>
    </row>
    <row r="5071" spans="3:3" x14ac:dyDescent="0.3">
      <c r="C5071" s="14"/>
    </row>
    <row r="5072" spans="3:3" x14ac:dyDescent="0.3">
      <c r="C5072" s="14"/>
    </row>
    <row r="5073" spans="3:3" x14ac:dyDescent="0.3">
      <c r="C5073" s="14"/>
    </row>
    <row r="5074" spans="3:3" x14ac:dyDescent="0.3">
      <c r="C5074" s="14"/>
    </row>
    <row r="5075" spans="3:3" x14ac:dyDescent="0.3">
      <c r="C5075" s="14"/>
    </row>
    <row r="5076" spans="3:3" x14ac:dyDescent="0.3">
      <c r="C5076" s="14"/>
    </row>
    <row r="5077" spans="3:3" x14ac:dyDescent="0.3">
      <c r="C5077" s="14"/>
    </row>
    <row r="5078" spans="3:3" x14ac:dyDescent="0.3">
      <c r="C5078" s="14"/>
    </row>
    <row r="5079" spans="3:3" x14ac:dyDescent="0.3">
      <c r="C5079" s="14"/>
    </row>
    <row r="5080" spans="3:3" x14ac:dyDescent="0.3">
      <c r="C5080" s="14"/>
    </row>
    <row r="5081" spans="3:3" x14ac:dyDescent="0.3">
      <c r="C5081" s="14"/>
    </row>
    <row r="5082" spans="3:3" x14ac:dyDescent="0.3">
      <c r="C5082" s="14"/>
    </row>
    <row r="5083" spans="3:3" x14ac:dyDescent="0.3">
      <c r="C5083" s="14"/>
    </row>
    <row r="5084" spans="3:3" x14ac:dyDescent="0.3">
      <c r="C5084" s="14"/>
    </row>
    <row r="5085" spans="3:3" x14ac:dyDescent="0.3">
      <c r="C5085" s="14"/>
    </row>
    <row r="5086" spans="3:3" x14ac:dyDescent="0.3">
      <c r="C5086" s="14"/>
    </row>
    <row r="5087" spans="3:3" x14ac:dyDescent="0.3">
      <c r="C5087" s="14"/>
    </row>
    <row r="5088" spans="3:3" x14ac:dyDescent="0.3">
      <c r="C5088" s="14"/>
    </row>
    <row r="5089" spans="3:3" x14ac:dyDescent="0.3">
      <c r="C5089" s="14"/>
    </row>
    <row r="5090" spans="3:3" x14ac:dyDescent="0.3">
      <c r="C5090" s="14"/>
    </row>
    <row r="5091" spans="3:3" x14ac:dyDescent="0.3">
      <c r="C5091" s="14"/>
    </row>
    <row r="5092" spans="3:3" x14ac:dyDescent="0.3">
      <c r="C5092" s="14"/>
    </row>
    <row r="5093" spans="3:3" x14ac:dyDescent="0.3">
      <c r="C5093" s="14"/>
    </row>
    <row r="5094" spans="3:3" x14ac:dyDescent="0.3">
      <c r="C5094" s="14"/>
    </row>
    <row r="5095" spans="3:3" x14ac:dyDescent="0.3">
      <c r="C5095" s="14"/>
    </row>
    <row r="5096" spans="3:3" x14ac:dyDescent="0.3">
      <c r="C5096" s="14"/>
    </row>
    <row r="5097" spans="3:3" x14ac:dyDescent="0.3">
      <c r="C5097" s="14"/>
    </row>
    <row r="5098" spans="3:3" x14ac:dyDescent="0.3">
      <c r="C5098" s="14"/>
    </row>
    <row r="5099" spans="3:3" x14ac:dyDescent="0.3">
      <c r="C5099" s="14"/>
    </row>
    <row r="5100" spans="3:3" x14ac:dyDescent="0.3">
      <c r="C5100" s="14"/>
    </row>
    <row r="5101" spans="3:3" x14ac:dyDescent="0.3">
      <c r="C5101" s="14"/>
    </row>
    <row r="5102" spans="3:3" x14ac:dyDescent="0.3">
      <c r="C5102" s="14"/>
    </row>
    <row r="5103" spans="3:3" x14ac:dyDescent="0.3">
      <c r="C5103" s="14"/>
    </row>
    <row r="5104" spans="3:3" x14ac:dyDescent="0.3">
      <c r="C5104" s="14"/>
    </row>
    <row r="5105" spans="3:3" x14ac:dyDescent="0.3">
      <c r="C5105" s="14"/>
    </row>
    <row r="5106" spans="3:3" x14ac:dyDescent="0.3">
      <c r="C5106" s="14"/>
    </row>
    <row r="5107" spans="3:3" x14ac:dyDescent="0.3">
      <c r="C5107" s="14"/>
    </row>
    <row r="5108" spans="3:3" x14ac:dyDescent="0.3">
      <c r="C5108" s="14"/>
    </row>
    <row r="5109" spans="3:3" x14ac:dyDescent="0.3">
      <c r="C5109" s="14"/>
    </row>
    <row r="5110" spans="3:3" x14ac:dyDescent="0.3">
      <c r="C5110" s="14"/>
    </row>
    <row r="5111" spans="3:3" x14ac:dyDescent="0.3">
      <c r="C5111" s="14"/>
    </row>
    <row r="5112" spans="3:3" x14ac:dyDescent="0.3">
      <c r="C5112" s="14"/>
    </row>
    <row r="5113" spans="3:3" x14ac:dyDescent="0.3">
      <c r="C5113" s="14"/>
    </row>
    <row r="5114" spans="3:3" x14ac:dyDescent="0.3">
      <c r="C5114" s="14"/>
    </row>
    <row r="5115" spans="3:3" x14ac:dyDescent="0.3">
      <c r="C5115" s="14"/>
    </row>
    <row r="5116" spans="3:3" x14ac:dyDescent="0.3">
      <c r="C5116" s="14"/>
    </row>
    <row r="5117" spans="3:3" x14ac:dyDescent="0.3">
      <c r="C5117" s="14"/>
    </row>
    <row r="5118" spans="3:3" x14ac:dyDescent="0.3">
      <c r="C5118" s="14"/>
    </row>
    <row r="5119" spans="3:3" x14ac:dyDescent="0.3">
      <c r="C5119" s="14"/>
    </row>
    <row r="5120" spans="3:3" x14ac:dyDescent="0.3">
      <c r="C5120" s="14"/>
    </row>
    <row r="5121" spans="3:3" x14ac:dyDescent="0.3">
      <c r="C5121" s="14"/>
    </row>
    <row r="5122" spans="3:3" x14ac:dyDescent="0.3">
      <c r="C5122" s="14"/>
    </row>
    <row r="5123" spans="3:3" x14ac:dyDescent="0.3">
      <c r="C5123" s="14"/>
    </row>
    <row r="5124" spans="3:3" x14ac:dyDescent="0.3">
      <c r="C5124" s="14"/>
    </row>
    <row r="5125" spans="3:3" x14ac:dyDescent="0.3">
      <c r="C5125" s="14"/>
    </row>
    <row r="5126" spans="3:3" x14ac:dyDescent="0.3">
      <c r="C5126" s="14"/>
    </row>
    <row r="5127" spans="3:3" x14ac:dyDescent="0.3">
      <c r="C5127" s="14"/>
    </row>
    <row r="5128" spans="3:3" x14ac:dyDescent="0.3">
      <c r="C5128" s="14"/>
    </row>
    <row r="5129" spans="3:3" x14ac:dyDescent="0.3">
      <c r="C5129" s="14"/>
    </row>
    <row r="5130" spans="3:3" x14ac:dyDescent="0.3">
      <c r="C5130" s="14"/>
    </row>
    <row r="5131" spans="3:3" x14ac:dyDescent="0.3">
      <c r="C5131" s="14"/>
    </row>
    <row r="5132" spans="3:3" x14ac:dyDescent="0.3">
      <c r="C5132" s="14"/>
    </row>
    <row r="5133" spans="3:3" x14ac:dyDescent="0.3">
      <c r="C5133" s="14"/>
    </row>
    <row r="5134" spans="3:3" x14ac:dyDescent="0.3">
      <c r="C5134" s="14"/>
    </row>
    <row r="5135" spans="3:3" x14ac:dyDescent="0.3">
      <c r="C5135" s="14"/>
    </row>
    <row r="5136" spans="3:3" x14ac:dyDescent="0.3">
      <c r="C5136" s="14"/>
    </row>
    <row r="5137" spans="3:3" x14ac:dyDescent="0.3">
      <c r="C5137" s="14"/>
    </row>
    <row r="5138" spans="3:3" x14ac:dyDescent="0.3">
      <c r="C5138" s="14"/>
    </row>
    <row r="5139" spans="3:3" x14ac:dyDescent="0.3">
      <c r="C5139" s="14"/>
    </row>
    <row r="5140" spans="3:3" x14ac:dyDescent="0.3">
      <c r="C5140" s="14"/>
    </row>
    <row r="5141" spans="3:3" x14ac:dyDescent="0.3">
      <c r="C5141" s="14"/>
    </row>
    <row r="5142" spans="3:3" x14ac:dyDescent="0.3">
      <c r="C5142" s="14"/>
    </row>
    <row r="5143" spans="3:3" x14ac:dyDescent="0.3">
      <c r="C5143" s="14"/>
    </row>
    <row r="5144" spans="3:3" x14ac:dyDescent="0.3">
      <c r="C5144" s="14"/>
    </row>
    <row r="5145" spans="3:3" x14ac:dyDescent="0.3">
      <c r="C5145" s="14"/>
    </row>
    <row r="5146" spans="3:3" x14ac:dyDescent="0.3">
      <c r="C5146" s="14"/>
    </row>
    <row r="5147" spans="3:3" x14ac:dyDescent="0.3">
      <c r="C5147" s="14"/>
    </row>
    <row r="5148" spans="3:3" x14ac:dyDescent="0.3">
      <c r="C5148" s="14"/>
    </row>
    <row r="5149" spans="3:3" x14ac:dyDescent="0.3">
      <c r="C5149" s="14"/>
    </row>
    <row r="5150" spans="3:3" x14ac:dyDescent="0.3">
      <c r="C5150" s="14"/>
    </row>
    <row r="5151" spans="3:3" x14ac:dyDescent="0.3">
      <c r="C5151" s="14"/>
    </row>
    <row r="5152" spans="3:3" x14ac:dyDescent="0.3">
      <c r="C5152" s="14"/>
    </row>
    <row r="5153" spans="3:3" x14ac:dyDescent="0.3">
      <c r="C5153" s="14"/>
    </row>
    <row r="5154" spans="3:3" x14ac:dyDescent="0.3">
      <c r="C5154" s="14"/>
    </row>
    <row r="5155" spans="3:3" x14ac:dyDescent="0.3">
      <c r="C5155" s="14"/>
    </row>
    <row r="5156" spans="3:3" x14ac:dyDescent="0.3">
      <c r="C5156" s="14"/>
    </row>
    <row r="5157" spans="3:3" x14ac:dyDescent="0.3">
      <c r="C5157" s="14"/>
    </row>
    <row r="5158" spans="3:3" x14ac:dyDescent="0.3">
      <c r="C5158" s="14"/>
    </row>
    <row r="5159" spans="3:3" x14ac:dyDescent="0.3">
      <c r="C5159" s="14"/>
    </row>
    <row r="5160" spans="3:3" x14ac:dyDescent="0.3">
      <c r="C5160" s="14"/>
    </row>
    <row r="5161" spans="3:3" x14ac:dyDescent="0.3">
      <c r="C5161" s="14"/>
    </row>
    <row r="5162" spans="3:3" x14ac:dyDescent="0.3">
      <c r="C5162" s="14"/>
    </row>
    <row r="5163" spans="3:3" x14ac:dyDescent="0.3">
      <c r="C5163" s="14"/>
    </row>
    <row r="5164" spans="3:3" x14ac:dyDescent="0.3">
      <c r="C5164" s="14"/>
    </row>
    <row r="5165" spans="3:3" x14ac:dyDescent="0.3">
      <c r="C5165" s="14"/>
    </row>
    <row r="5166" spans="3:3" x14ac:dyDescent="0.3">
      <c r="C5166" s="14"/>
    </row>
    <row r="5167" spans="3:3" x14ac:dyDescent="0.3">
      <c r="C5167" s="14"/>
    </row>
    <row r="5168" spans="3:3" x14ac:dyDescent="0.3">
      <c r="C5168" s="14"/>
    </row>
    <row r="5169" spans="3:3" x14ac:dyDescent="0.3">
      <c r="C5169" s="14"/>
    </row>
    <row r="5170" spans="3:3" x14ac:dyDescent="0.3">
      <c r="C5170" s="14"/>
    </row>
    <row r="5171" spans="3:3" x14ac:dyDescent="0.3">
      <c r="C5171" s="14"/>
    </row>
    <row r="5172" spans="3:3" x14ac:dyDescent="0.3">
      <c r="C5172" s="14"/>
    </row>
    <row r="5173" spans="3:3" x14ac:dyDescent="0.3">
      <c r="C5173" s="14"/>
    </row>
    <row r="5174" spans="3:3" x14ac:dyDescent="0.3">
      <c r="C5174" s="14"/>
    </row>
    <row r="5175" spans="3:3" x14ac:dyDescent="0.3">
      <c r="C5175" s="14"/>
    </row>
    <row r="5176" spans="3:3" x14ac:dyDescent="0.3">
      <c r="C5176" s="14"/>
    </row>
    <row r="5177" spans="3:3" x14ac:dyDescent="0.3">
      <c r="C5177" s="14"/>
    </row>
    <row r="5178" spans="3:3" x14ac:dyDescent="0.3">
      <c r="C5178" s="14"/>
    </row>
    <row r="5179" spans="3:3" x14ac:dyDescent="0.3">
      <c r="C5179" s="14"/>
    </row>
    <row r="5180" spans="3:3" x14ac:dyDescent="0.3">
      <c r="C5180" s="14"/>
    </row>
    <row r="5181" spans="3:3" x14ac:dyDescent="0.3">
      <c r="C5181" s="14"/>
    </row>
    <row r="5182" spans="3:3" x14ac:dyDescent="0.3">
      <c r="C5182" s="14"/>
    </row>
    <row r="5183" spans="3:3" x14ac:dyDescent="0.3">
      <c r="C5183" s="14"/>
    </row>
    <row r="5184" spans="3:3" x14ac:dyDescent="0.3">
      <c r="C5184" s="14"/>
    </row>
    <row r="5185" spans="3:3" x14ac:dyDescent="0.3">
      <c r="C5185" s="14"/>
    </row>
    <row r="5186" spans="3:3" x14ac:dyDescent="0.3">
      <c r="C5186" s="14"/>
    </row>
    <row r="5187" spans="3:3" x14ac:dyDescent="0.3">
      <c r="C5187" s="14"/>
    </row>
    <row r="5188" spans="3:3" x14ac:dyDescent="0.3">
      <c r="C5188" s="14"/>
    </row>
    <row r="5189" spans="3:3" x14ac:dyDescent="0.3">
      <c r="C5189" s="14"/>
    </row>
    <row r="5190" spans="3:3" x14ac:dyDescent="0.3">
      <c r="C5190" s="14"/>
    </row>
    <row r="5191" spans="3:3" x14ac:dyDescent="0.3">
      <c r="C5191" s="14"/>
    </row>
    <row r="5192" spans="3:3" x14ac:dyDescent="0.3">
      <c r="C5192" s="14"/>
    </row>
    <row r="5193" spans="3:3" x14ac:dyDescent="0.3">
      <c r="C5193" s="14"/>
    </row>
    <row r="5194" spans="3:3" x14ac:dyDescent="0.3">
      <c r="C5194" s="14"/>
    </row>
    <row r="5195" spans="3:3" x14ac:dyDescent="0.3">
      <c r="C5195" s="14"/>
    </row>
    <row r="5196" spans="3:3" x14ac:dyDescent="0.3">
      <c r="C5196" s="14"/>
    </row>
    <row r="5197" spans="3:3" x14ac:dyDescent="0.3">
      <c r="C5197" s="14"/>
    </row>
    <row r="5198" spans="3:3" x14ac:dyDescent="0.3">
      <c r="C5198" s="14"/>
    </row>
    <row r="5199" spans="3:3" x14ac:dyDescent="0.3">
      <c r="C5199" s="14"/>
    </row>
    <row r="5200" spans="3:3" x14ac:dyDescent="0.3">
      <c r="C5200" s="14"/>
    </row>
    <row r="5201" spans="3:3" x14ac:dyDescent="0.3">
      <c r="C5201" s="14"/>
    </row>
    <row r="5202" spans="3:3" x14ac:dyDescent="0.3">
      <c r="C5202" s="14"/>
    </row>
    <row r="5203" spans="3:3" x14ac:dyDescent="0.3">
      <c r="C5203" s="14"/>
    </row>
    <row r="5204" spans="3:3" x14ac:dyDescent="0.3">
      <c r="C5204" s="14"/>
    </row>
    <row r="5205" spans="3:3" x14ac:dyDescent="0.3">
      <c r="C5205" s="14"/>
    </row>
    <row r="5206" spans="3:3" x14ac:dyDescent="0.3">
      <c r="C5206" s="14"/>
    </row>
    <row r="5207" spans="3:3" x14ac:dyDescent="0.3">
      <c r="C5207" s="14"/>
    </row>
    <row r="5208" spans="3:3" x14ac:dyDescent="0.3">
      <c r="C5208" s="14"/>
    </row>
    <row r="5209" spans="3:3" x14ac:dyDescent="0.3">
      <c r="C5209" s="14"/>
    </row>
    <row r="5210" spans="3:3" x14ac:dyDescent="0.3">
      <c r="C5210" s="14"/>
    </row>
    <row r="5211" spans="3:3" x14ac:dyDescent="0.3">
      <c r="C5211" s="14"/>
    </row>
    <row r="5212" spans="3:3" x14ac:dyDescent="0.3">
      <c r="C5212" s="14"/>
    </row>
    <row r="5213" spans="3:3" x14ac:dyDescent="0.3">
      <c r="C5213" s="14"/>
    </row>
    <row r="5214" spans="3:3" x14ac:dyDescent="0.3">
      <c r="C5214" s="14"/>
    </row>
    <row r="5215" spans="3:3" x14ac:dyDescent="0.3">
      <c r="C5215" s="14"/>
    </row>
    <row r="5216" spans="3:3" x14ac:dyDescent="0.3">
      <c r="C5216" s="14"/>
    </row>
    <row r="5217" spans="3:3" x14ac:dyDescent="0.3">
      <c r="C5217" s="14"/>
    </row>
    <row r="5218" spans="3:3" x14ac:dyDescent="0.3">
      <c r="C5218" s="14"/>
    </row>
    <row r="5219" spans="3:3" x14ac:dyDescent="0.3">
      <c r="C5219" s="14"/>
    </row>
    <row r="5220" spans="3:3" x14ac:dyDescent="0.3">
      <c r="C5220" s="14"/>
    </row>
    <row r="5221" spans="3:3" x14ac:dyDescent="0.3">
      <c r="C5221" s="14"/>
    </row>
    <row r="5222" spans="3:3" x14ac:dyDescent="0.3">
      <c r="C5222" s="14"/>
    </row>
    <row r="5223" spans="3:3" x14ac:dyDescent="0.3">
      <c r="C5223" s="14"/>
    </row>
    <row r="5224" spans="3:3" x14ac:dyDescent="0.3">
      <c r="C5224" s="14"/>
    </row>
    <row r="5225" spans="3:3" x14ac:dyDescent="0.3">
      <c r="C5225" s="14"/>
    </row>
    <row r="5226" spans="3:3" x14ac:dyDescent="0.3">
      <c r="C5226" s="14"/>
    </row>
    <row r="5227" spans="3:3" x14ac:dyDescent="0.3">
      <c r="C5227" s="14"/>
    </row>
    <row r="5228" spans="3:3" x14ac:dyDescent="0.3">
      <c r="C5228" s="14"/>
    </row>
    <row r="5229" spans="3:3" x14ac:dyDescent="0.3">
      <c r="C5229" s="14"/>
    </row>
    <row r="5230" spans="3:3" x14ac:dyDescent="0.3">
      <c r="C5230" s="14"/>
    </row>
    <row r="5231" spans="3:3" x14ac:dyDescent="0.3">
      <c r="C5231" s="14"/>
    </row>
    <row r="5232" spans="3:3" x14ac:dyDescent="0.3">
      <c r="C5232" s="14"/>
    </row>
    <row r="5233" spans="3:3" x14ac:dyDescent="0.3">
      <c r="C5233" s="14"/>
    </row>
    <row r="5234" spans="3:3" x14ac:dyDescent="0.3">
      <c r="C5234" s="14"/>
    </row>
    <row r="5235" spans="3:3" x14ac:dyDescent="0.3">
      <c r="C5235" s="14"/>
    </row>
    <row r="5236" spans="3:3" x14ac:dyDescent="0.3">
      <c r="C5236" s="14"/>
    </row>
    <row r="5237" spans="3:3" x14ac:dyDescent="0.3">
      <c r="C5237" s="14"/>
    </row>
    <row r="5238" spans="3:3" x14ac:dyDescent="0.3">
      <c r="C5238" s="14"/>
    </row>
    <row r="5239" spans="3:3" x14ac:dyDescent="0.3">
      <c r="C5239" s="14"/>
    </row>
    <row r="5240" spans="3:3" x14ac:dyDescent="0.3">
      <c r="C5240" s="14"/>
    </row>
    <row r="5241" spans="3:3" x14ac:dyDescent="0.3">
      <c r="C5241" s="14"/>
    </row>
    <row r="5242" spans="3:3" x14ac:dyDescent="0.3">
      <c r="C5242" s="14"/>
    </row>
    <row r="5243" spans="3:3" x14ac:dyDescent="0.3">
      <c r="C5243" s="14"/>
    </row>
    <row r="5244" spans="3:3" x14ac:dyDescent="0.3">
      <c r="C5244" s="14"/>
    </row>
    <row r="5245" spans="3:3" x14ac:dyDescent="0.3">
      <c r="C5245" s="14"/>
    </row>
    <row r="5246" spans="3:3" x14ac:dyDescent="0.3">
      <c r="C5246" s="14"/>
    </row>
    <row r="5247" spans="3:3" x14ac:dyDescent="0.3">
      <c r="C5247" s="14"/>
    </row>
    <row r="5248" spans="3:3" x14ac:dyDescent="0.3">
      <c r="C5248" s="14"/>
    </row>
    <row r="5249" spans="3:3" x14ac:dyDescent="0.3">
      <c r="C5249" s="14"/>
    </row>
    <row r="5250" spans="3:3" x14ac:dyDescent="0.3">
      <c r="C5250" s="14"/>
    </row>
    <row r="5251" spans="3:3" x14ac:dyDescent="0.3">
      <c r="C5251" s="14"/>
    </row>
    <row r="5252" spans="3:3" x14ac:dyDescent="0.3">
      <c r="C5252" s="14"/>
    </row>
    <row r="5253" spans="3:3" x14ac:dyDescent="0.3">
      <c r="C5253" s="14"/>
    </row>
    <row r="5254" spans="3:3" x14ac:dyDescent="0.3">
      <c r="C5254" s="14"/>
    </row>
    <row r="5255" spans="3:3" x14ac:dyDescent="0.3">
      <c r="C5255" s="14"/>
    </row>
    <row r="5256" spans="3:3" x14ac:dyDescent="0.3">
      <c r="C5256" s="14"/>
    </row>
    <row r="5257" spans="3:3" x14ac:dyDescent="0.3">
      <c r="C5257" s="14"/>
    </row>
    <row r="5258" spans="3:3" x14ac:dyDescent="0.3">
      <c r="C5258" s="14"/>
    </row>
    <row r="5259" spans="3:3" x14ac:dyDescent="0.3">
      <c r="C5259" s="14"/>
    </row>
    <row r="5260" spans="3:3" x14ac:dyDescent="0.3">
      <c r="C5260" s="14"/>
    </row>
    <row r="5261" spans="3:3" x14ac:dyDescent="0.3">
      <c r="C5261" s="14"/>
    </row>
    <row r="5262" spans="3:3" x14ac:dyDescent="0.3">
      <c r="C5262" s="14"/>
    </row>
    <row r="5263" spans="3:3" x14ac:dyDescent="0.3">
      <c r="C5263" s="14"/>
    </row>
    <row r="5264" spans="3:3" x14ac:dyDescent="0.3">
      <c r="C5264" s="14"/>
    </row>
    <row r="5265" spans="3:3" x14ac:dyDescent="0.3">
      <c r="C5265" s="14"/>
    </row>
    <row r="5266" spans="3:3" x14ac:dyDescent="0.3">
      <c r="C5266" s="14"/>
    </row>
    <row r="5267" spans="3:3" x14ac:dyDescent="0.3">
      <c r="C5267" s="14"/>
    </row>
    <row r="5268" spans="3:3" x14ac:dyDescent="0.3">
      <c r="C5268" s="14"/>
    </row>
    <row r="5269" spans="3:3" x14ac:dyDescent="0.3">
      <c r="C5269" s="14"/>
    </row>
    <row r="5270" spans="3:3" x14ac:dyDescent="0.3">
      <c r="C5270" s="14"/>
    </row>
    <row r="5271" spans="3:3" x14ac:dyDescent="0.3">
      <c r="C5271" s="14"/>
    </row>
    <row r="5272" spans="3:3" x14ac:dyDescent="0.3">
      <c r="C5272" s="14"/>
    </row>
    <row r="5273" spans="3:3" x14ac:dyDescent="0.3">
      <c r="C5273" s="14"/>
    </row>
    <row r="5274" spans="3:3" x14ac:dyDescent="0.3">
      <c r="C5274" s="14"/>
    </row>
    <row r="5275" spans="3:3" x14ac:dyDescent="0.3">
      <c r="C5275" s="14"/>
    </row>
    <row r="5276" spans="3:3" x14ac:dyDescent="0.3">
      <c r="C5276" s="14"/>
    </row>
    <row r="5277" spans="3:3" x14ac:dyDescent="0.3">
      <c r="C5277" s="14"/>
    </row>
    <row r="5278" spans="3:3" x14ac:dyDescent="0.3">
      <c r="C5278" s="14"/>
    </row>
    <row r="5279" spans="3:3" x14ac:dyDescent="0.3">
      <c r="C5279" s="14"/>
    </row>
    <row r="5280" spans="3:3" x14ac:dyDescent="0.3">
      <c r="C5280" s="14"/>
    </row>
    <row r="5281" spans="3:3" x14ac:dyDescent="0.3">
      <c r="C5281" s="14"/>
    </row>
    <row r="5282" spans="3:3" x14ac:dyDescent="0.3">
      <c r="C5282" s="14"/>
    </row>
    <row r="5283" spans="3:3" x14ac:dyDescent="0.3">
      <c r="C5283" s="14"/>
    </row>
    <row r="5284" spans="3:3" x14ac:dyDescent="0.3">
      <c r="C5284" s="14"/>
    </row>
    <row r="5285" spans="3:3" x14ac:dyDescent="0.3">
      <c r="C5285" s="14"/>
    </row>
    <row r="5286" spans="3:3" x14ac:dyDescent="0.3">
      <c r="C5286" s="14"/>
    </row>
    <row r="5287" spans="3:3" x14ac:dyDescent="0.3">
      <c r="C5287" s="14"/>
    </row>
    <row r="5288" spans="3:3" x14ac:dyDescent="0.3">
      <c r="C5288" s="14"/>
    </row>
    <row r="5289" spans="3:3" x14ac:dyDescent="0.3">
      <c r="C5289" s="14"/>
    </row>
    <row r="5290" spans="3:3" x14ac:dyDescent="0.3">
      <c r="C5290" s="14"/>
    </row>
    <row r="5291" spans="3:3" x14ac:dyDescent="0.3">
      <c r="C5291" s="14"/>
    </row>
    <row r="5292" spans="3:3" x14ac:dyDescent="0.3">
      <c r="C5292" s="14"/>
    </row>
    <row r="5293" spans="3:3" x14ac:dyDescent="0.3">
      <c r="C5293" s="14"/>
    </row>
    <row r="5294" spans="3:3" x14ac:dyDescent="0.3">
      <c r="C5294" s="14"/>
    </row>
    <row r="5295" spans="3:3" x14ac:dyDescent="0.3">
      <c r="C5295" s="14"/>
    </row>
    <row r="5296" spans="3:3" x14ac:dyDescent="0.3">
      <c r="C5296" s="14"/>
    </row>
    <row r="5297" spans="3:3" x14ac:dyDescent="0.3">
      <c r="C5297" s="14"/>
    </row>
    <row r="5298" spans="3:3" x14ac:dyDescent="0.3">
      <c r="C5298" s="14"/>
    </row>
    <row r="5299" spans="3:3" x14ac:dyDescent="0.3">
      <c r="C5299" s="14"/>
    </row>
    <row r="5300" spans="3:3" x14ac:dyDescent="0.3">
      <c r="C5300" s="14"/>
    </row>
    <row r="5301" spans="3:3" x14ac:dyDescent="0.3">
      <c r="C5301" s="14"/>
    </row>
    <row r="5302" spans="3:3" x14ac:dyDescent="0.3">
      <c r="C5302" s="14"/>
    </row>
    <row r="5303" spans="3:3" x14ac:dyDescent="0.3">
      <c r="C5303" s="14"/>
    </row>
    <row r="5304" spans="3:3" x14ac:dyDescent="0.3">
      <c r="C5304" s="14"/>
    </row>
    <row r="5305" spans="3:3" x14ac:dyDescent="0.3">
      <c r="C5305" s="14"/>
    </row>
    <row r="5306" spans="3:3" x14ac:dyDescent="0.3">
      <c r="C5306" s="14"/>
    </row>
    <row r="5307" spans="3:3" x14ac:dyDescent="0.3">
      <c r="C5307" s="14"/>
    </row>
    <row r="5308" spans="3:3" x14ac:dyDescent="0.3">
      <c r="C5308" s="14"/>
    </row>
    <row r="5309" spans="3:3" x14ac:dyDescent="0.3">
      <c r="C5309" s="14"/>
    </row>
    <row r="5310" spans="3:3" x14ac:dyDescent="0.3">
      <c r="C5310" s="14"/>
    </row>
    <row r="5311" spans="3:3" x14ac:dyDescent="0.3">
      <c r="C5311" s="14"/>
    </row>
    <row r="5312" spans="3:3" x14ac:dyDescent="0.3">
      <c r="C5312" s="14"/>
    </row>
    <row r="5313" spans="3:3" x14ac:dyDescent="0.3">
      <c r="C5313" s="14"/>
    </row>
    <row r="5314" spans="3:3" x14ac:dyDescent="0.3">
      <c r="C5314" s="14"/>
    </row>
    <row r="5315" spans="3:3" x14ac:dyDescent="0.3">
      <c r="C5315" s="14"/>
    </row>
    <row r="5316" spans="3:3" x14ac:dyDescent="0.3">
      <c r="C5316" s="14"/>
    </row>
    <row r="5317" spans="3:3" x14ac:dyDescent="0.3">
      <c r="C5317" s="14"/>
    </row>
    <row r="5318" spans="3:3" x14ac:dyDescent="0.3">
      <c r="C5318" s="14"/>
    </row>
    <row r="5319" spans="3:3" x14ac:dyDescent="0.3">
      <c r="C5319" s="14"/>
    </row>
    <row r="5320" spans="3:3" x14ac:dyDescent="0.3">
      <c r="C5320" s="14"/>
    </row>
    <row r="5321" spans="3:3" x14ac:dyDescent="0.3">
      <c r="C5321" s="14"/>
    </row>
    <row r="5322" spans="3:3" x14ac:dyDescent="0.3">
      <c r="C5322" s="14"/>
    </row>
    <row r="5323" spans="3:3" x14ac:dyDescent="0.3">
      <c r="C5323" s="14"/>
    </row>
    <row r="5324" spans="3:3" x14ac:dyDescent="0.3">
      <c r="C5324" s="14"/>
    </row>
    <row r="5325" spans="3:3" x14ac:dyDescent="0.3">
      <c r="C5325" s="14"/>
    </row>
    <row r="5326" spans="3:3" x14ac:dyDescent="0.3">
      <c r="C5326" s="14"/>
    </row>
    <row r="5327" spans="3:3" x14ac:dyDescent="0.3">
      <c r="C5327" s="14"/>
    </row>
    <row r="5328" spans="3:3" x14ac:dyDescent="0.3">
      <c r="C5328" s="14"/>
    </row>
    <row r="5329" spans="3:3" x14ac:dyDescent="0.3">
      <c r="C5329" s="14"/>
    </row>
    <row r="5330" spans="3:3" x14ac:dyDescent="0.3">
      <c r="C5330" s="14"/>
    </row>
    <row r="5331" spans="3:3" x14ac:dyDescent="0.3">
      <c r="C5331" s="14"/>
    </row>
    <row r="5332" spans="3:3" x14ac:dyDescent="0.3">
      <c r="C5332" s="14"/>
    </row>
    <row r="5333" spans="3:3" x14ac:dyDescent="0.3">
      <c r="C5333" s="14"/>
    </row>
    <row r="5334" spans="3:3" x14ac:dyDescent="0.3">
      <c r="C5334" s="14"/>
    </row>
    <row r="5335" spans="3:3" x14ac:dyDescent="0.3">
      <c r="C5335" s="14"/>
    </row>
    <row r="5336" spans="3:3" x14ac:dyDescent="0.3">
      <c r="C5336" s="14"/>
    </row>
    <row r="5337" spans="3:3" x14ac:dyDescent="0.3">
      <c r="C5337" s="14"/>
    </row>
    <row r="5338" spans="3:3" x14ac:dyDescent="0.3">
      <c r="C5338" s="14"/>
    </row>
    <row r="5339" spans="3:3" x14ac:dyDescent="0.3">
      <c r="C5339" s="14"/>
    </row>
    <row r="5340" spans="3:3" x14ac:dyDescent="0.3">
      <c r="C5340" s="14"/>
    </row>
    <row r="5341" spans="3:3" x14ac:dyDescent="0.3">
      <c r="C5341" s="14"/>
    </row>
    <row r="5342" spans="3:3" x14ac:dyDescent="0.3">
      <c r="C5342" s="14"/>
    </row>
    <row r="5343" spans="3:3" x14ac:dyDescent="0.3">
      <c r="C5343" s="14"/>
    </row>
    <row r="5344" spans="3:3" x14ac:dyDescent="0.3">
      <c r="C5344" s="14"/>
    </row>
    <row r="5345" spans="3:3" x14ac:dyDescent="0.3">
      <c r="C5345" s="14"/>
    </row>
    <row r="5346" spans="3:3" x14ac:dyDescent="0.3">
      <c r="C5346" s="14"/>
    </row>
    <row r="5347" spans="3:3" x14ac:dyDescent="0.3">
      <c r="C5347" s="14"/>
    </row>
    <row r="5348" spans="3:3" x14ac:dyDescent="0.3">
      <c r="C5348" s="14"/>
    </row>
    <row r="5349" spans="3:3" x14ac:dyDescent="0.3">
      <c r="C5349" s="14"/>
    </row>
    <row r="5350" spans="3:3" x14ac:dyDescent="0.3">
      <c r="C5350" s="14"/>
    </row>
    <row r="5351" spans="3:3" x14ac:dyDescent="0.3">
      <c r="C5351" s="14"/>
    </row>
    <row r="5352" spans="3:3" x14ac:dyDescent="0.3">
      <c r="C5352" s="14"/>
    </row>
    <row r="5353" spans="3:3" x14ac:dyDescent="0.3">
      <c r="C5353" s="14"/>
    </row>
    <row r="5354" spans="3:3" x14ac:dyDescent="0.3">
      <c r="C5354" s="14"/>
    </row>
    <row r="5355" spans="3:3" x14ac:dyDescent="0.3">
      <c r="C5355" s="14"/>
    </row>
    <row r="5356" spans="3:3" x14ac:dyDescent="0.3">
      <c r="C5356" s="14"/>
    </row>
    <row r="5357" spans="3:3" x14ac:dyDescent="0.3">
      <c r="C5357" s="14"/>
    </row>
    <row r="5358" spans="3:3" x14ac:dyDescent="0.3">
      <c r="C5358" s="14"/>
    </row>
    <row r="5359" spans="3:3" x14ac:dyDescent="0.3">
      <c r="C5359" s="14"/>
    </row>
    <row r="5360" spans="3:3" x14ac:dyDescent="0.3">
      <c r="C5360" s="14"/>
    </row>
    <row r="5361" spans="3:3" x14ac:dyDescent="0.3">
      <c r="C5361" s="14"/>
    </row>
    <row r="5362" spans="3:3" x14ac:dyDescent="0.3">
      <c r="C5362" s="14"/>
    </row>
    <row r="5363" spans="3:3" x14ac:dyDescent="0.3">
      <c r="C5363" s="14"/>
    </row>
    <row r="5364" spans="3:3" x14ac:dyDescent="0.3">
      <c r="C5364" s="14"/>
    </row>
    <row r="5365" spans="3:3" x14ac:dyDescent="0.3">
      <c r="C5365" s="14"/>
    </row>
    <row r="5366" spans="3:3" x14ac:dyDescent="0.3">
      <c r="C5366" s="14"/>
    </row>
    <row r="5367" spans="3:3" x14ac:dyDescent="0.3">
      <c r="C5367" s="14"/>
    </row>
    <row r="5368" spans="3:3" x14ac:dyDescent="0.3">
      <c r="C5368" s="14"/>
    </row>
    <row r="5369" spans="3:3" x14ac:dyDescent="0.3">
      <c r="C5369" s="14"/>
    </row>
    <row r="5370" spans="3:3" x14ac:dyDescent="0.3">
      <c r="C5370" s="14"/>
    </row>
    <row r="5371" spans="3:3" x14ac:dyDescent="0.3">
      <c r="C5371" s="14"/>
    </row>
    <row r="5372" spans="3:3" x14ac:dyDescent="0.3">
      <c r="C5372" s="14"/>
    </row>
    <row r="5373" spans="3:3" x14ac:dyDescent="0.3">
      <c r="C5373" s="14"/>
    </row>
    <row r="5374" spans="3:3" x14ac:dyDescent="0.3">
      <c r="C5374" s="14"/>
    </row>
    <row r="5375" spans="3:3" x14ac:dyDescent="0.3">
      <c r="C5375" s="14"/>
    </row>
    <row r="5376" spans="3:3" x14ac:dyDescent="0.3">
      <c r="C5376" s="14"/>
    </row>
    <row r="5377" spans="3:3" x14ac:dyDescent="0.3">
      <c r="C5377" s="14"/>
    </row>
    <row r="5378" spans="3:3" x14ac:dyDescent="0.3">
      <c r="C5378" s="14"/>
    </row>
    <row r="5379" spans="3:3" x14ac:dyDescent="0.3">
      <c r="C5379" s="14"/>
    </row>
    <row r="5380" spans="3:3" x14ac:dyDescent="0.3">
      <c r="C5380" s="14"/>
    </row>
    <row r="5381" spans="3:3" x14ac:dyDescent="0.3">
      <c r="C5381" s="14"/>
    </row>
    <row r="5382" spans="3:3" x14ac:dyDescent="0.3">
      <c r="C5382" s="14"/>
    </row>
    <row r="5383" spans="3:3" x14ac:dyDescent="0.3">
      <c r="C5383" s="14"/>
    </row>
    <row r="5384" spans="3:3" x14ac:dyDescent="0.3">
      <c r="C5384" s="14"/>
    </row>
    <row r="5385" spans="3:3" x14ac:dyDescent="0.3">
      <c r="C5385" s="14"/>
    </row>
    <row r="5386" spans="3:3" x14ac:dyDescent="0.3">
      <c r="C5386" s="14"/>
    </row>
    <row r="5387" spans="3:3" x14ac:dyDescent="0.3">
      <c r="C5387" s="14"/>
    </row>
    <row r="5388" spans="3:3" x14ac:dyDescent="0.3">
      <c r="C5388" s="14"/>
    </row>
    <row r="5389" spans="3:3" x14ac:dyDescent="0.3">
      <c r="C5389" s="14"/>
    </row>
    <row r="5390" spans="3:3" x14ac:dyDescent="0.3">
      <c r="C5390" s="14"/>
    </row>
    <row r="5391" spans="3:3" x14ac:dyDescent="0.3">
      <c r="C5391" s="14"/>
    </row>
    <row r="5392" spans="3:3" x14ac:dyDescent="0.3">
      <c r="C5392" s="14"/>
    </row>
    <row r="5393" spans="3:3" x14ac:dyDescent="0.3">
      <c r="C5393" s="14"/>
    </row>
    <row r="5394" spans="3:3" x14ac:dyDescent="0.3">
      <c r="C5394" s="14"/>
    </row>
    <row r="5395" spans="3:3" x14ac:dyDescent="0.3">
      <c r="C5395" s="14"/>
    </row>
    <row r="5396" spans="3:3" x14ac:dyDescent="0.3">
      <c r="C5396" s="14"/>
    </row>
    <row r="5397" spans="3:3" x14ac:dyDescent="0.3">
      <c r="C5397" s="14"/>
    </row>
    <row r="5398" spans="3:3" x14ac:dyDescent="0.3">
      <c r="C5398" s="14"/>
    </row>
    <row r="5399" spans="3:3" x14ac:dyDescent="0.3">
      <c r="C5399" s="14"/>
    </row>
    <row r="5400" spans="3:3" x14ac:dyDescent="0.3">
      <c r="C5400" s="14"/>
    </row>
    <row r="5401" spans="3:3" x14ac:dyDescent="0.3">
      <c r="C5401" s="14"/>
    </row>
    <row r="5402" spans="3:3" x14ac:dyDescent="0.3">
      <c r="C5402" s="14"/>
    </row>
    <row r="5403" spans="3:3" x14ac:dyDescent="0.3">
      <c r="C5403" s="14"/>
    </row>
    <row r="5404" spans="3:3" x14ac:dyDescent="0.3">
      <c r="C5404" s="14"/>
    </row>
    <row r="5405" spans="3:3" x14ac:dyDescent="0.3">
      <c r="C5405" s="14"/>
    </row>
    <row r="5406" spans="3:3" x14ac:dyDescent="0.3">
      <c r="C5406" s="14"/>
    </row>
    <row r="5407" spans="3:3" x14ac:dyDescent="0.3">
      <c r="C5407" s="14"/>
    </row>
    <row r="5408" spans="3:3" x14ac:dyDescent="0.3">
      <c r="C5408" s="14"/>
    </row>
    <row r="5409" spans="3:3" x14ac:dyDescent="0.3">
      <c r="C5409" s="14"/>
    </row>
    <row r="5410" spans="3:3" x14ac:dyDescent="0.3">
      <c r="C5410" s="14"/>
    </row>
    <row r="5411" spans="3:3" x14ac:dyDescent="0.3">
      <c r="C5411" s="14"/>
    </row>
    <row r="5412" spans="3:3" x14ac:dyDescent="0.3">
      <c r="C5412" s="14"/>
    </row>
    <row r="5413" spans="3:3" x14ac:dyDescent="0.3">
      <c r="C5413" s="14"/>
    </row>
    <row r="5414" spans="3:3" x14ac:dyDescent="0.3">
      <c r="C5414" s="14"/>
    </row>
    <row r="5415" spans="3:3" x14ac:dyDescent="0.3">
      <c r="C5415" s="14"/>
    </row>
    <row r="5416" spans="3:3" x14ac:dyDescent="0.3">
      <c r="C5416" s="14"/>
    </row>
    <row r="5417" spans="3:3" x14ac:dyDescent="0.3">
      <c r="C5417" s="14"/>
    </row>
    <row r="5418" spans="3:3" x14ac:dyDescent="0.3">
      <c r="C5418" s="14"/>
    </row>
    <row r="5419" spans="3:3" x14ac:dyDescent="0.3">
      <c r="C5419" s="14"/>
    </row>
    <row r="5420" spans="3:3" x14ac:dyDescent="0.3">
      <c r="C5420" s="14"/>
    </row>
    <row r="5421" spans="3:3" x14ac:dyDescent="0.3">
      <c r="C5421" s="14"/>
    </row>
    <row r="5422" spans="3:3" x14ac:dyDescent="0.3">
      <c r="C5422" s="14"/>
    </row>
    <row r="5423" spans="3:3" x14ac:dyDescent="0.3">
      <c r="C5423" s="14"/>
    </row>
    <row r="5424" spans="3:3" x14ac:dyDescent="0.3">
      <c r="C5424" s="14"/>
    </row>
    <row r="5425" spans="3:3" x14ac:dyDescent="0.3">
      <c r="C5425" s="14"/>
    </row>
    <row r="5426" spans="3:3" x14ac:dyDescent="0.3">
      <c r="C5426" s="14"/>
    </row>
    <row r="5427" spans="3:3" x14ac:dyDescent="0.3">
      <c r="C5427" s="14"/>
    </row>
    <row r="5428" spans="3:3" x14ac:dyDescent="0.3">
      <c r="C5428" s="14"/>
    </row>
    <row r="5429" spans="3:3" x14ac:dyDescent="0.3">
      <c r="C5429" s="14"/>
    </row>
    <row r="5430" spans="3:3" x14ac:dyDescent="0.3">
      <c r="C5430" s="14"/>
    </row>
    <row r="5431" spans="3:3" x14ac:dyDescent="0.3">
      <c r="C5431" s="14"/>
    </row>
    <row r="5432" spans="3:3" x14ac:dyDescent="0.3">
      <c r="C5432" s="14"/>
    </row>
    <row r="5433" spans="3:3" x14ac:dyDescent="0.3">
      <c r="C5433" s="14"/>
    </row>
    <row r="5434" spans="3:3" x14ac:dyDescent="0.3">
      <c r="C5434" s="14"/>
    </row>
    <row r="5435" spans="3:3" x14ac:dyDescent="0.3">
      <c r="C5435" s="14"/>
    </row>
    <row r="5436" spans="3:3" x14ac:dyDescent="0.3">
      <c r="C5436" s="14"/>
    </row>
    <row r="5437" spans="3:3" x14ac:dyDescent="0.3">
      <c r="C5437" s="14"/>
    </row>
    <row r="5438" spans="3:3" x14ac:dyDescent="0.3">
      <c r="C5438" s="14"/>
    </row>
    <row r="5439" spans="3:3" x14ac:dyDescent="0.3">
      <c r="C5439" s="14"/>
    </row>
    <row r="5440" spans="3:3" x14ac:dyDescent="0.3">
      <c r="C5440" s="14"/>
    </row>
    <row r="5441" spans="3:3" x14ac:dyDescent="0.3">
      <c r="C5441" s="14"/>
    </row>
    <row r="5442" spans="3:3" x14ac:dyDescent="0.3">
      <c r="C5442" s="14"/>
    </row>
    <row r="5443" spans="3:3" x14ac:dyDescent="0.3">
      <c r="C5443" s="14"/>
    </row>
    <row r="5444" spans="3:3" x14ac:dyDescent="0.3">
      <c r="C5444" s="14"/>
    </row>
    <row r="5445" spans="3:3" x14ac:dyDescent="0.3">
      <c r="C5445" s="14"/>
    </row>
    <row r="5446" spans="3:3" x14ac:dyDescent="0.3">
      <c r="C5446" s="14"/>
    </row>
    <row r="5447" spans="3:3" x14ac:dyDescent="0.3">
      <c r="C5447" s="14"/>
    </row>
    <row r="5448" spans="3:3" x14ac:dyDescent="0.3">
      <c r="C5448" s="14"/>
    </row>
    <row r="5449" spans="3:3" x14ac:dyDescent="0.3">
      <c r="C5449" s="14"/>
    </row>
    <row r="5450" spans="3:3" x14ac:dyDescent="0.3">
      <c r="C5450" s="14"/>
    </row>
    <row r="5451" spans="3:3" x14ac:dyDescent="0.3">
      <c r="C5451" s="14"/>
    </row>
    <row r="5452" spans="3:3" x14ac:dyDescent="0.3">
      <c r="C5452" s="14"/>
    </row>
    <row r="5453" spans="3:3" x14ac:dyDescent="0.3">
      <c r="C5453" s="14"/>
    </row>
    <row r="5454" spans="3:3" x14ac:dyDescent="0.3">
      <c r="C5454" s="14"/>
    </row>
    <row r="5455" spans="3:3" x14ac:dyDescent="0.3">
      <c r="C5455" s="14"/>
    </row>
    <row r="5456" spans="3:3" x14ac:dyDescent="0.3">
      <c r="C5456" s="14"/>
    </row>
    <row r="5457" spans="3:3" x14ac:dyDescent="0.3">
      <c r="C5457" s="14"/>
    </row>
    <row r="5458" spans="3:3" x14ac:dyDescent="0.3">
      <c r="C5458" s="14"/>
    </row>
    <row r="5459" spans="3:3" x14ac:dyDescent="0.3">
      <c r="C5459" s="14"/>
    </row>
    <row r="5460" spans="3:3" x14ac:dyDescent="0.3">
      <c r="C5460" s="14"/>
    </row>
    <row r="5461" spans="3:3" x14ac:dyDescent="0.3">
      <c r="C5461" s="14"/>
    </row>
    <row r="5462" spans="3:3" x14ac:dyDescent="0.3">
      <c r="C5462" s="14"/>
    </row>
    <row r="5463" spans="3:3" x14ac:dyDescent="0.3">
      <c r="C5463" s="14"/>
    </row>
    <row r="5464" spans="3:3" x14ac:dyDescent="0.3">
      <c r="C5464" s="14"/>
    </row>
    <row r="5465" spans="3:3" x14ac:dyDescent="0.3">
      <c r="C5465" s="14"/>
    </row>
    <row r="5466" spans="3:3" x14ac:dyDescent="0.3">
      <c r="C5466" s="14"/>
    </row>
    <row r="5467" spans="3:3" x14ac:dyDescent="0.3">
      <c r="C5467" s="14"/>
    </row>
    <row r="5468" spans="3:3" x14ac:dyDescent="0.3">
      <c r="C5468" s="14"/>
    </row>
    <row r="5469" spans="3:3" x14ac:dyDescent="0.3">
      <c r="C5469" s="14"/>
    </row>
    <row r="5470" spans="3:3" x14ac:dyDescent="0.3">
      <c r="C5470" s="14"/>
    </row>
    <row r="5471" spans="3:3" x14ac:dyDescent="0.3">
      <c r="C5471" s="14"/>
    </row>
    <row r="5472" spans="3:3" x14ac:dyDescent="0.3">
      <c r="C5472" s="14"/>
    </row>
    <row r="5473" spans="3:3" x14ac:dyDescent="0.3">
      <c r="C5473" s="14"/>
    </row>
    <row r="5474" spans="3:3" x14ac:dyDescent="0.3">
      <c r="C5474" s="14"/>
    </row>
    <row r="5475" spans="3:3" x14ac:dyDescent="0.3">
      <c r="C5475" s="14"/>
    </row>
    <row r="5476" spans="3:3" x14ac:dyDescent="0.3">
      <c r="C5476" s="14"/>
    </row>
    <row r="5477" spans="3:3" x14ac:dyDescent="0.3">
      <c r="C5477" s="14"/>
    </row>
    <row r="5478" spans="3:3" x14ac:dyDescent="0.3">
      <c r="C5478" s="14"/>
    </row>
    <row r="5479" spans="3:3" x14ac:dyDescent="0.3">
      <c r="C5479" s="14"/>
    </row>
    <row r="5480" spans="3:3" x14ac:dyDescent="0.3">
      <c r="C5480" s="14"/>
    </row>
    <row r="5481" spans="3:3" x14ac:dyDescent="0.3">
      <c r="C5481" s="14"/>
    </row>
    <row r="5482" spans="3:3" x14ac:dyDescent="0.3">
      <c r="C5482" s="14"/>
    </row>
    <row r="5483" spans="3:3" x14ac:dyDescent="0.3">
      <c r="C5483" s="14"/>
    </row>
    <row r="5484" spans="3:3" x14ac:dyDescent="0.3">
      <c r="C5484" s="14"/>
    </row>
    <row r="5485" spans="3:3" x14ac:dyDescent="0.3">
      <c r="C5485" s="14"/>
    </row>
    <row r="5486" spans="3:3" x14ac:dyDescent="0.3">
      <c r="C5486" s="14"/>
    </row>
    <row r="5487" spans="3:3" x14ac:dyDescent="0.3">
      <c r="C5487" s="14"/>
    </row>
    <row r="5488" spans="3:3" x14ac:dyDescent="0.3">
      <c r="C5488" s="14"/>
    </row>
    <row r="5489" spans="3:3" x14ac:dyDescent="0.3">
      <c r="C5489" s="14"/>
    </row>
    <row r="5490" spans="3:3" x14ac:dyDescent="0.3">
      <c r="C5490" s="14"/>
    </row>
    <row r="5491" spans="3:3" x14ac:dyDescent="0.3">
      <c r="C5491" s="14"/>
    </row>
    <row r="5492" spans="3:3" x14ac:dyDescent="0.3">
      <c r="C5492" s="14"/>
    </row>
    <row r="5493" spans="3:3" x14ac:dyDescent="0.3">
      <c r="C5493" s="14"/>
    </row>
    <row r="5494" spans="3:3" x14ac:dyDescent="0.3">
      <c r="C5494" s="14"/>
    </row>
    <row r="5495" spans="3:3" x14ac:dyDescent="0.3">
      <c r="C5495" s="14"/>
    </row>
    <row r="5496" spans="3:3" x14ac:dyDescent="0.3">
      <c r="C5496" s="14"/>
    </row>
    <row r="5497" spans="3:3" x14ac:dyDescent="0.3">
      <c r="C5497" s="14"/>
    </row>
    <row r="5498" spans="3:3" x14ac:dyDescent="0.3">
      <c r="C5498" s="14"/>
    </row>
    <row r="5499" spans="3:3" x14ac:dyDescent="0.3">
      <c r="C5499" s="14"/>
    </row>
    <row r="5500" spans="3:3" x14ac:dyDescent="0.3">
      <c r="C5500" s="14"/>
    </row>
    <row r="5501" spans="3:3" x14ac:dyDescent="0.3">
      <c r="C5501" s="14"/>
    </row>
    <row r="5502" spans="3:3" x14ac:dyDescent="0.3">
      <c r="C5502" s="14"/>
    </row>
    <row r="5503" spans="3:3" x14ac:dyDescent="0.3">
      <c r="C5503" s="14"/>
    </row>
    <row r="5504" spans="3:3" x14ac:dyDescent="0.3">
      <c r="C5504" s="14"/>
    </row>
    <row r="5505" spans="3:3" x14ac:dyDescent="0.3">
      <c r="C5505" s="14"/>
    </row>
    <row r="5506" spans="3:3" x14ac:dyDescent="0.3">
      <c r="C5506" s="14"/>
    </row>
    <row r="5507" spans="3:3" x14ac:dyDescent="0.3">
      <c r="C5507" s="14"/>
    </row>
    <row r="5508" spans="3:3" x14ac:dyDescent="0.3">
      <c r="C5508" s="14"/>
    </row>
    <row r="5509" spans="3:3" x14ac:dyDescent="0.3">
      <c r="C5509" s="14"/>
    </row>
    <row r="5510" spans="3:3" x14ac:dyDescent="0.3">
      <c r="C5510" s="14"/>
    </row>
    <row r="5511" spans="3:3" x14ac:dyDescent="0.3">
      <c r="C5511" s="14"/>
    </row>
    <row r="5512" spans="3:3" x14ac:dyDescent="0.3">
      <c r="C5512" s="14"/>
    </row>
    <row r="5513" spans="3:3" x14ac:dyDescent="0.3">
      <c r="C5513" s="14"/>
    </row>
    <row r="5514" spans="3:3" x14ac:dyDescent="0.3">
      <c r="C5514" s="14"/>
    </row>
    <row r="5515" spans="3:3" x14ac:dyDescent="0.3">
      <c r="C5515" s="14"/>
    </row>
    <row r="5516" spans="3:3" x14ac:dyDescent="0.3">
      <c r="C5516" s="14"/>
    </row>
    <row r="5517" spans="3:3" x14ac:dyDescent="0.3">
      <c r="C5517" s="14"/>
    </row>
    <row r="5518" spans="3:3" x14ac:dyDescent="0.3">
      <c r="C5518" s="14"/>
    </row>
    <row r="5519" spans="3:3" x14ac:dyDescent="0.3">
      <c r="C5519" s="14"/>
    </row>
    <row r="5520" spans="3:3" x14ac:dyDescent="0.3">
      <c r="C5520" s="14"/>
    </row>
    <row r="5521" spans="3:3" x14ac:dyDescent="0.3">
      <c r="C5521" s="14"/>
    </row>
    <row r="5522" spans="3:3" x14ac:dyDescent="0.3">
      <c r="C5522" s="14"/>
    </row>
    <row r="5523" spans="3:3" x14ac:dyDescent="0.3">
      <c r="C5523" s="14"/>
    </row>
    <row r="5524" spans="3:3" x14ac:dyDescent="0.3">
      <c r="C5524" s="14"/>
    </row>
    <row r="5525" spans="3:3" x14ac:dyDescent="0.3">
      <c r="C5525" s="14"/>
    </row>
    <row r="5526" spans="3:3" x14ac:dyDescent="0.3">
      <c r="C5526" s="14"/>
    </row>
    <row r="5527" spans="3:3" x14ac:dyDescent="0.3">
      <c r="C5527" s="14"/>
    </row>
    <row r="5528" spans="3:3" x14ac:dyDescent="0.3">
      <c r="C5528" s="14"/>
    </row>
    <row r="5529" spans="3:3" x14ac:dyDescent="0.3">
      <c r="C5529" s="14"/>
    </row>
    <row r="5530" spans="3:3" x14ac:dyDescent="0.3">
      <c r="C5530" s="14"/>
    </row>
    <row r="5531" spans="3:3" x14ac:dyDescent="0.3">
      <c r="C5531" s="14"/>
    </row>
    <row r="5532" spans="3:3" x14ac:dyDescent="0.3">
      <c r="C5532" s="14"/>
    </row>
    <row r="5533" spans="3:3" x14ac:dyDescent="0.3">
      <c r="C5533" s="14"/>
    </row>
    <row r="5534" spans="3:3" x14ac:dyDescent="0.3">
      <c r="C5534" s="14"/>
    </row>
    <row r="5535" spans="3:3" x14ac:dyDescent="0.3">
      <c r="C5535" s="14"/>
    </row>
    <row r="5536" spans="3:3" x14ac:dyDescent="0.3">
      <c r="C5536" s="14"/>
    </row>
    <row r="5537" spans="3:3" x14ac:dyDescent="0.3">
      <c r="C5537" s="14"/>
    </row>
    <row r="5538" spans="3:3" x14ac:dyDescent="0.3">
      <c r="C5538" s="14"/>
    </row>
    <row r="5539" spans="3:3" x14ac:dyDescent="0.3">
      <c r="C5539" s="14"/>
    </row>
    <row r="5540" spans="3:3" x14ac:dyDescent="0.3">
      <c r="C5540" s="14"/>
    </row>
    <row r="5541" spans="3:3" x14ac:dyDescent="0.3">
      <c r="C5541" s="14"/>
    </row>
    <row r="5542" spans="3:3" x14ac:dyDescent="0.3">
      <c r="C5542" s="14"/>
    </row>
    <row r="5543" spans="3:3" x14ac:dyDescent="0.3">
      <c r="C5543" s="14"/>
    </row>
    <row r="5544" spans="3:3" x14ac:dyDescent="0.3">
      <c r="C5544" s="14"/>
    </row>
    <row r="5545" spans="3:3" x14ac:dyDescent="0.3">
      <c r="C5545" s="14"/>
    </row>
    <row r="5546" spans="3:3" x14ac:dyDescent="0.3">
      <c r="C5546" s="14"/>
    </row>
    <row r="5547" spans="3:3" x14ac:dyDescent="0.3">
      <c r="C5547" s="14"/>
    </row>
    <row r="5548" spans="3:3" x14ac:dyDescent="0.3">
      <c r="C5548" s="14"/>
    </row>
    <row r="5549" spans="3:3" x14ac:dyDescent="0.3">
      <c r="C5549" s="14"/>
    </row>
    <row r="5550" spans="3:3" x14ac:dyDescent="0.3">
      <c r="C5550" s="14"/>
    </row>
    <row r="5551" spans="3:3" x14ac:dyDescent="0.3">
      <c r="C5551" s="14"/>
    </row>
    <row r="5552" spans="3:3" x14ac:dyDescent="0.3">
      <c r="C5552" s="14"/>
    </row>
    <row r="5553" spans="3:3" x14ac:dyDescent="0.3">
      <c r="C5553" s="14"/>
    </row>
    <row r="5554" spans="3:3" x14ac:dyDescent="0.3">
      <c r="C5554" s="14"/>
    </row>
    <row r="5555" spans="3:3" x14ac:dyDescent="0.3">
      <c r="C5555" s="14"/>
    </row>
    <row r="5556" spans="3:3" x14ac:dyDescent="0.3">
      <c r="C5556" s="14"/>
    </row>
    <row r="5557" spans="3:3" x14ac:dyDescent="0.3">
      <c r="C5557" s="14"/>
    </row>
    <row r="5558" spans="3:3" x14ac:dyDescent="0.3">
      <c r="C5558" s="14"/>
    </row>
    <row r="5559" spans="3:3" x14ac:dyDescent="0.3">
      <c r="C5559" s="14"/>
    </row>
    <row r="5560" spans="3:3" x14ac:dyDescent="0.3">
      <c r="C5560" s="14"/>
    </row>
    <row r="5561" spans="3:3" x14ac:dyDescent="0.3">
      <c r="C5561" s="14"/>
    </row>
    <row r="5562" spans="3:3" x14ac:dyDescent="0.3">
      <c r="C5562" s="14"/>
    </row>
    <row r="5563" spans="3:3" x14ac:dyDescent="0.3">
      <c r="C5563" s="14"/>
    </row>
    <row r="5564" spans="3:3" x14ac:dyDescent="0.3">
      <c r="C5564" s="14"/>
    </row>
    <row r="5565" spans="3:3" x14ac:dyDescent="0.3">
      <c r="C5565" s="14"/>
    </row>
    <row r="5566" spans="3:3" x14ac:dyDescent="0.3">
      <c r="C5566" s="14"/>
    </row>
    <row r="5567" spans="3:3" x14ac:dyDescent="0.3">
      <c r="C5567" s="14"/>
    </row>
    <row r="5568" spans="3:3" x14ac:dyDescent="0.3">
      <c r="C5568" s="14"/>
    </row>
    <row r="5569" spans="3:3" x14ac:dyDescent="0.3">
      <c r="C5569" s="14"/>
    </row>
    <row r="5570" spans="3:3" x14ac:dyDescent="0.3">
      <c r="C5570" s="14"/>
    </row>
    <row r="5571" spans="3:3" x14ac:dyDescent="0.3">
      <c r="C5571" s="14"/>
    </row>
    <row r="5572" spans="3:3" x14ac:dyDescent="0.3">
      <c r="C5572" s="14"/>
    </row>
    <row r="5573" spans="3:3" x14ac:dyDescent="0.3">
      <c r="C5573" s="14"/>
    </row>
    <row r="5574" spans="3:3" x14ac:dyDescent="0.3">
      <c r="C5574" s="14"/>
    </row>
    <row r="5575" spans="3:3" x14ac:dyDescent="0.3">
      <c r="C5575" s="14"/>
    </row>
    <row r="5576" spans="3:3" x14ac:dyDescent="0.3">
      <c r="C5576" s="14"/>
    </row>
    <row r="5577" spans="3:3" x14ac:dyDescent="0.3">
      <c r="C5577" s="14"/>
    </row>
    <row r="5578" spans="3:3" x14ac:dyDescent="0.3">
      <c r="C5578" s="14"/>
    </row>
    <row r="5579" spans="3:3" x14ac:dyDescent="0.3">
      <c r="C5579" s="14"/>
    </row>
    <row r="5580" spans="3:3" x14ac:dyDescent="0.3">
      <c r="C5580" s="14"/>
    </row>
    <row r="5581" spans="3:3" x14ac:dyDescent="0.3">
      <c r="C5581" s="14"/>
    </row>
    <row r="5582" spans="3:3" x14ac:dyDescent="0.3">
      <c r="C5582" s="14"/>
    </row>
    <row r="5583" spans="3:3" x14ac:dyDescent="0.3">
      <c r="C5583" s="14"/>
    </row>
    <row r="5584" spans="3:3" x14ac:dyDescent="0.3">
      <c r="C5584" s="14"/>
    </row>
    <row r="5585" spans="3:3" x14ac:dyDescent="0.3">
      <c r="C5585" s="14"/>
    </row>
    <row r="5586" spans="3:3" x14ac:dyDescent="0.3">
      <c r="C5586" s="14"/>
    </row>
    <row r="5587" spans="3:3" x14ac:dyDescent="0.3">
      <c r="C5587" s="14"/>
    </row>
    <row r="5588" spans="3:3" x14ac:dyDescent="0.3">
      <c r="C5588" s="14"/>
    </row>
    <row r="5589" spans="3:3" x14ac:dyDescent="0.3">
      <c r="C5589" s="14"/>
    </row>
    <row r="5590" spans="3:3" x14ac:dyDescent="0.3">
      <c r="C5590" s="14"/>
    </row>
    <row r="5591" spans="3:3" x14ac:dyDescent="0.3">
      <c r="C5591" s="14"/>
    </row>
    <row r="5592" spans="3:3" x14ac:dyDescent="0.3">
      <c r="C5592" s="14"/>
    </row>
    <row r="5593" spans="3:3" x14ac:dyDescent="0.3">
      <c r="C5593" s="14"/>
    </row>
    <row r="5594" spans="3:3" x14ac:dyDescent="0.3">
      <c r="C5594" s="14"/>
    </row>
    <row r="5595" spans="3:3" x14ac:dyDescent="0.3">
      <c r="C5595" s="14"/>
    </row>
    <row r="5596" spans="3:3" x14ac:dyDescent="0.3">
      <c r="C5596" s="14"/>
    </row>
    <row r="5597" spans="3:3" x14ac:dyDescent="0.3">
      <c r="C5597" s="14"/>
    </row>
    <row r="5598" spans="3:3" x14ac:dyDescent="0.3">
      <c r="C5598" s="14"/>
    </row>
    <row r="5599" spans="3:3" x14ac:dyDescent="0.3">
      <c r="C5599" s="14"/>
    </row>
    <row r="5600" spans="3:3" x14ac:dyDescent="0.3">
      <c r="C5600" s="14"/>
    </row>
    <row r="5601" spans="3:3" x14ac:dyDescent="0.3">
      <c r="C5601" s="14"/>
    </row>
    <row r="5602" spans="3:3" x14ac:dyDescent="0.3">
      <c r="C5602" s="14"/>
    </row>
    <row r="5603" spans="3:3" x14ac:dyDescent="0.3">
      <c r="C5603" s="14"/>
    </row>
    <row r="5604" spans="3:3" x14ac:dyDescent="0.3">
      <c r="C5604" s="14"/>
    </row>
    <row r="5605" spans="3:3" x14ac:dyDescent="0.3">
      <c r="C5605" s="14"/>
    </row>
    <row r="5606" spans="3:3" x14ac:dyDescent="0.3">
      <c r="C5606" s="14"/>
    </row>
    <row r="5607" spans="3:3" x14ac:dyDescent="0.3">
      <c r="C5607" s="14"/>
    </row>
    <row r="5608" spans="3:3" x14ac:dyDescent="0.3">
      <c r="C5608" s="14"/>
    </row>
    <row r="5609" spans="3:3" x14ac:dyDescent="0.3">
      <c r="C5609" s="14"/>
    </row>
    <row r="5610" spans="3:3" x14ac:dyDescent="0.3">
      <c r="C5610" s="14"/>
    </row>
    <row r="5611" spans="3:3" x14ac:dyDescent="0.3">
      <c r="C5611" s="14"/>
    </row>
    <row r="5612" spans="3:3" x14ac:dyDescent="0.3">
      <c r="C5612" s="14"/>
    </row>
    <row r="5613" spans="3:3" x14ac:dyDescent="0.3">
      <c r="C5613" s="14"/>
    </row>
    <row r="5614" spans="3:3" x14ac:dyDescent="0.3">
      <c r="C5614" s="14"/>
    </row>
    <row r="5615" spans="3:3" x14ac:dyDescent="0.3">
      <c r="C5615" s="14"/>
    </row>
    <row r="5616" spans="3:3" x14ac:dyDescent="0.3">
      <c r="C5616" s="14"/>
    </row>
    <row r="5617" spans="3:3" x14ac:dyDescent="0.3">
      <c r="C5617" s="14"/>
    </row>
    <row r="5618" spans="3:3" x14ac:dyDescent="0.3">
      <c r="C5618" s="14"/>
    </row>
    <row r="5619" spans="3:3" x14ac:dyDescent="0.3">
      <c r="C5619" s="14"/>
    </row>
    <row r="5620" spans="3:3" x14ac:dyDescent="0.3">
      <c r="C5620" s="14"/>
    </row>
    <row r="5621" spans="3:3" x14ac:dyDescent="0.3">
      <c r="C5621" s="14"/>
    </row>
    <row r="5622" spans="3:3" x14ac:dyDescent="0.3">
      <c r="C5622" s="14"/>
    </row>
    <row r="5623" spans="3:3" x14ac:dyDescent="0.3">
      <c r="C5623" s="14"/>
    </row>
    <row r="5624" spans="3:3" x14ac:dyDescent="0.3">
      <c r="C5624" s="14"/>
    </row>
    <row r="5625" spans="3:3" x14ac:dyDescent="0.3">
      <c r="C5625" s="14"/>
    </row>
    <row r="5626" spans="3:3" x14ac:dyDescent="0.3">
      <c r="C5626" s="14"/>
    </row>
    <row r="5627" spans="3:3" x14ac:dyDescent="0.3">
      <c r="C5627" s="14"/>
    </row>
    <row r="5628" spans="3:3" x14ac:dyDescent="0.3">
      <c r="C5628" s="14"/>
    </row>
    <row r="5629" spans="3:3" x14ac:dyDescent="0.3">
      <c r="C5629" s="14"/>
    </row>
    <row r="5630" spans="3:3" x14ac:dyDescent="0.3">
      <c r="C5630" s="14"/>
    </row>
    <row r="5631" spans="3:3" x14ac:dyDescent="0.3">
      <c r="C5631" s="14"/>
    </row>
    <row r="5632" spans="3:3" x14ac:dyDescent="0.3">
      <c r="C5632" s="14"/>
    </row>
    <row r="5633" spans="3:3" x14ac:dyDescent="0.3">
      <c r="C5633" s="14"/>
    </row>
    <row r="5634" spans="3:3" x14ac:dyDescent="0.3">
      <c r="C5634" s="14"/>
    </row>
    <row r="5635" spans="3:3" x14ac:dyDescent="0.3">
      <c r="C5635" s="14"/>
    </row>
    <row r="5636" spans="3:3" x14ac:dyDescent="0.3">
      <c r="C5636" s="14"/>
    </row>
    <row r="5637" spans="3:3" x14ac:dyDescent="0.3">
      <c r="C5637" s="14"/>
    </row>
    <row r="5638" spans="3:3" x14ac:dyDescent="0.3">
      <c r="C5638" s="14"/>
    </row>
    <row r="5639" spans="3:3" x14ac:dyDescent="0.3">
      <c r="C5639" s="14"/>
    </row>
    <row r="5640" spans="3:3" x14ac:dyDescent="0.3">
      <c r="C5640" s="14"/>
    </row>
    <row r="5641" spans="3:3" x14ac:dyDescent="0.3">
      <c r="C5641" s="14"/>
    </row>
    <row r="5642" spans="3:3" x14ac:dyDescent="0.3">
      <c r="C5642" s="14"/>
    </row>
    <row r="5643" spans="3:3" x14ac:dyDescent="0.3">
      <c r="C5643" s="14"/>
    </row>
    <row r="5644" spans="3:3" x14ac:dyDescent="0.3">
      <c r="C5644" s="14"/>
    </row>
    <row r="5645" spans="3:3" x14ac:dyDescent="0.3">
      <c r="C5645" s="14"/>
    </row>
    <row r="5646" spans="3:3" x14ac:dyDescent="0.3">
      <c r="C5646" s="14"/>
    </row>
    <row r="5647" spans="3:3" x14ac:dyDescent="0.3">
      <c r="C5647" s="14"/>
    </row>
    <row r="5648" spans="3:3" x14ac:dyDescent="0.3">
      <c r="C5648" s="14"/>
    </row>
    <row r="5649" spans="3:3" x14ac:dyDescent="0.3">
      <c r="C5649" s="14"/>
    </row>
    <row r="5650" spans="3:3" x14ac:dyDescent="0.3">
      <c r="C5650" s="14"/>
    </row>
    <row r="5651" spans="3:3" x14ac:dyDescent="0.3">
      <c r="C5651" s="14"/>
    </row>
    <row r="5652" spans="3:3" x14ac:dyDescent="0.3">
      <c r="C5652" s="14"/>
    </row>
    <row r="5653" spans="3:3" x14ac:dyDescent="0.3">
      <c r="C5653" s="14"/>
    </row>
    <row r="5654" spans="3:3" x14ac:dyDescent="0.3">
      <c r="C5654" s="14"/>
    </row>
    <row r="5655" spans="3:3" x14ac:dyDescent="0.3">
      <c r="C5655" s="14"/>
    </row>
    <row r="5656" spans="3:3" x14ac:dyDescent="0.3">
      <c r="C5656" s="14"/>
    </row>
    <row r="5657" spans="3:3" x14ac:dyDescent="0.3">
      <c r="C5657" s="14"/>
    </row>
    <row r="5658" spans="3:3" x14ac:dyDescent="0.3">
      <c r="C5658" s="14"/>
    </row>
    <row r="5659" spans="3:3" x14ac:dyDescent="0.3">
      <c r="C5659" s="14"/>
    </row>
    <row r="5660" spans="3:3" x14ac:dyDescent="0.3">
      <c r="C5660" s="14"/>
    </row>
    <row r="5661" spans="3:3" x14ac:dyDescent="0.3">
      <c r="C5661" s="14"/>
    </row>
    <row r="5662" spans="3:3" x14ac:dyDescent="0.3">
      <c r="C5662" s="14"/>
    </row>
    <row r="5663" spans="3:3" x14ac:dyDescent="0.3">
      <c r="C5663" s="14"/>
    </row>
    <row r="5664" spans="3:3" x14ac:dyDescent="0.3">
      <c r="C5664" s="14"/>
    </row>
    <row r="5665" spans="3:3" x14ac:dyDescent="0.3">
      <c r="C5665" s="14"/>
    </row>
    <row r="5666" spans="3:3" x14ac:dyDescent="0.3">
      <c r="C5666" s="14"/>
    </row>
    <row r="5667" spans="3:3" x14ac:dyDescent="0.3">
      <c r="C5667" s="14"/>
    </row>
    <row r="5668" spans="3:3" x14ac:dyDescent="0.3">
      <c r="C5668" s="14"/>
    </row>
    <row r="5669" spans="3:3" x14ac:dyDescent="0.3">
      <c r="C5669" s="14"/>
    </row>
    <row r="5670" spans="3:3" x14ac:dyDescent="0.3">
      <c r="C5670" s="14"/>
    </row>
    <row r="5671" spans="3:3" x14ac:dyDescent="0.3">
      <c r="C5671" s="14"/>
    </row>
    <row r="5672" spans="3:3" x14ac:dyDescent="0.3">
      <c r="C5672" s="14"/>
    </row>
    <row r="5673" spans="3:3" x14ac:dyDescent="0.3">
      <c r="C5673" s="14"/>
    </row>
    <row r="5674" spans="3:3" x14ac:dyDescent="0.3">
      <c r="C5674" s="14"/>
    </row>
    <row r="5675" spans="3:3" x14ac:dyDescent="0.3">
      <c r="C5675" s="14"/>
    </row>
    <row r="5676" spans="3:3" x14ac:dyDescent="0.3">
      <c r="C5676" s="14"/>
    </row>
    <row r="5677" spans="3:3" x14ac:dyDescent="0.3">
      <c r="C5677" s="14"/>
    </row>
    <row r="5678" spans="3:3" x14ac:dyDescent="0.3">
      <c r="C5678" s="14"/>
    </row>
    <row r="5679" spans="3:3" x14ac:dyDescent="0.3">
      <c r="C5679" s="14"/>
    </row>
    <row r="5680" spans="3:3" x14ac:dyDescent="0.3">
      <c r="C5680" s="14"/>
    </row>
    <row r="5681" spans="3:3" x14ac:dyDescent="0.3">
      <c r="C5681" s="14"/>
    </row>
    <row r="5682" spans="3:3" x14ac:dyDescent="0.3">
      <c r="C5682" s="14"/>
    </row>
    <row r="5683" spans="3:3" x14ac:dyDescent="0.3">
      <c r="C5683" s="14"/>
    </row>
    <row r="5684" spans="3:3" x14ac:dyDescent="0.3">
      <c r="C5684" s="14"/>
    </row>
    <row r="5685" spans="3:3" x14ac:dyDescent="0.3">
      <c r="C5685" s="14"/>
    </row>
    <row r="5686" spans="3:3" x14ac:dyDescent="0.3">
      <c r="C5686" s="14"/>
    </row>
    <row r="5687" spans="3:3" x14ac:dyDescent="0.3">
      <c r="C5687" s="14"/>
    </row>
    <row r="5688" spans="3:3" x14ac:dyDescent="0.3">
      <c r="C5688" s="14"/>
    </row>
    <row r="5689" spans="3:3" x14ac:dyDescent="0.3">
      <c r="C5689" s="14"/>
    </row>
    <row r="5690" spans="3:3" x14ac:dyDescent="0.3">
      <c r="C5690" s="14"/>
    </row>
    <row r="5691" spans="3:3" x14ac:dyDescent="0.3">
      <c r="C5691" s="14"/>
    </row>
    <row r="5692" spans="3:3" x14ac:dyDescent="0.3">
      <c r="C5692" s="14"/>
    </row>
    <row r="5693" spans="3:3" x14ac:dyDescent="0.3">
      <c r="C5693" s="14"/>
    </row>
    <row r="5694" spans="3:3" x14ac:dyDescent="0.3">
      <c r="C5694" s="14"/>
    </row>
    <row r="5695" spans="3:3" x14ac:dyDescent="0.3">
      <c r="C5695" s="14"/>
    </row>
    <row r="5696" spans="3:3" x14ac:dyDescent="0.3">
      <c r="C5696" s="14"/>
    </row>
    <row r="5697" spans="3:3" x14ac:dyDescent="0.3">
      <c r="C5697" s="14"/>
    </row>
    <row r="5698" spans="3:3" x14ac:dyDescent="0.3">
      <c r="C5698" s="14"/>
    </row>
    <row r="5699" spans="3:3" x14ac:dyDescent="0.3">
      <c r="C5699" s="14"/>
    </row>
    <row r="5700" spans="3:3" x14ac:dyDescent="0.3">
      <c r="C5700" s="14"/>
    </row>
    <row r="5701" spans="3:3" x14ac:dyDescent="0.3">
      <c r="C5701" s="14"/>
    </row>
    <row r="5702" spans="3:3" x14ac:dyDescent="0.3">
      <c r="C5702" s="14"/>
    </row>
    <row r="5703" spans="3:3" x14ac:dyDescent="0.3">
      <c r="C5703" s="14"/>
    </row>
    <row r="5704" spans="3:3" x14ac:dyDescent="0.3">
      <c r="C5704" s="14"/>
    </row>
    <row r="5705" spans="3:3" x14ac:dyDescent="0.3">
      <c r="C5705" s="14"/>
    </row>
    <row r="5706" spans="3:3" x14ac:dyDescent="0.3">
      <c r="C5706" s="14"/>
    </row>
    <row r="5707" spans="3:3" x14ac:dyDescent="0.3">
      <c r="C5707" s="14"/>
    </row>
    <row r="5708" spans="3:3" x14ac:dyDescent="0.3">
      <c r="C5708" s="14"/>
    </row>
    <row r="5709" spans="3:3" x14ac:dyDescent="0.3">
      <c r="C5709" s="14"/>
    </row>
    <row r="5710" spans="3:3" x14ac:dyDescent="0.3">
      <c r="C5710" s="14"/>
    </row>
    <row r="5711" spans="3:3" x14ac:dyDescent="0.3">
      <c r="C5711" s="14"/>
    </row>
    <row r="5712" spans="3:3" x14ac:dyDescent="0.3">
      <c r="C5712" s="14"/>
    </row>
    <row r="5713" spans="3:3" x14ac:dyDescent="0.3">
      <c r="C5713" s="14"/>
    </row>
    <row r="5714" spans="3:3" x14ac:dyDescent="0.3">
      <c r="C5714" s="14"/>
    </row>
    <row r="5715" spans="3:3" x14ac:dyDescent="0.3">
      <c r="C5715" s="14"/>
    </row>
    <row r="5716" spans="3:3" x14ac:dyDescent="0.3">
      <c r="C5716" s="14"/>
    </row>
    <row r="5717" spans="3:3" x14ac:dyDescent="0.3">
      <c r="C5717" s="14"/>
    </row>
    <row r="5718" spans="3:3" x14ac:dyDescent="0.3">
      <c r="C5718" s="14"/>
    </row>
    <row r="5719" spans="3:3" x14ac:dyDescent="0.3">
      <c r="C5719" s="14"/>
    </row>
    <row r="5720" spans="3:3" x14ac:dyDescent="0.3">
      <c r="C5720" s="14"/>
    </row>
    <row r="5721" spans="3:3" x14ac:dyDescent="0.3">
      <c r="C5721" s="14"/>
    </row>
    <row r="5722" spans="3:3" x14ac:dyDescent="0.3">
      <c r="C5722" s="14"/>
    </row>
    <row r="5723" spans="3:3" x14ac:dyDescent="0.3">
      <c r="C5723" s="14"/>
    </row>
    <row r="5724" spans="3:3" x14ac:dyDescent="0.3">
      <c r="C5724" s="14"/>
    </row>
    <row r="5725" spans="3:3" x14ac:dyDescent="0.3">
      <c r="C5725" s="14"/>
    </row>
    <row r="5726" spans="3:3" x14ac:dyDescent="0.3">
      <c r="C5726" s="14"/>
    </row>
    <row r="5727" spans="3:3" x14ac:dyDescent="0.3">
      <c r="C5727" s="14"/>
    </row>
    <row r="5728" spans="3:3" x14ac:dyDescent="0.3">
      <c r="C5728" s="14"/>
    </row>
    <row r="5729" spans="3:3" x14ac:dyDescent="0.3">
      <c r="C5729" s="14"/>
    </row>
    <row r="5730" spans="3:3" x14ac:dyDescent="0.3">
      <c r="C5730" s="14"/>
    </row>
    <row r="5731" spans="3:3" x14ac:dyDescent="0.3">
      <c r="C5731" s="14"/>
    </row>
    <row r="5732" spans="3:3" x14ac:dyDescent="0.3">
      <c r="C5732" s="14"/>
    </row>
    <row r="5733" spans="3:3" x14ac:dyDescent="0.3">
      <c r="C5733" s="14"/>
    </row>
    <row r="5734" spans="3:3" x14ac:dyDescent="0.3">
      <c r="C5734" s="14"/>
    </row>
    <row r="5735" spans="3:3" x14ac:dyDescent="0.3">
      <c r="C5735" s="14"/>
    </row>
    <row r="5736" spans="3:3" x14ac:dyDescent="0.3">
      <c r="C5736" s="14"/>
    </row>
    <row r="5737" spans="3:3" x14ac:dyDescent="0.3">
      <c r="C5737" s="14"/>
    </row>
    <row r="5738" spans="3:3" x14ac:dyDescent="0.3">
      <c r="C5738" s="14"/>
    </row>
    <row r="5739" spans="3:3" x14ac:dyDescent="0.3">
      <c r="C5739" s="14"/>
    </row>
    <row r="5740" spans="3:3" x14ac:dyDescent="0.3">
      <c r="C5740" s="14"/>
    </row>
    <row r="5741" spans="3:3" x14ac:dyDescent="0.3">
      <c r="C5741" s="14"/>
    </row>
    <row r="5742" spans="3:3" x14ac:dyDescent="0.3">
      <c r="C5742" s="14"/>
    </row>
    <row r="5743" spans="3:3" x14ac:dyDescent="0.3">
      <c r="C5743" s="14"/>
    </row>
    <row r="5744" spans="3:3" x14ac:dyDescent="0.3">
      <c r="C5744" s="14"/>
    </row>
    <row r="5745" spans="3:3" x14ac:dyDescent="0.3">
      <c r="C5745" s="14"/>
    </row>
    <row r="5746" spans="3:3" x14ac:dyDescent="0.3">
      <c r="C5746" s="14"/>
    </row>
    <row r="5747" spans="3:3" x14ac:dyDescent="0.3">
      <c r="C5747" s="14"/>
    </row>
    <row r="5748" spans="3:3" x14ac:dyDescent="0.3">
      <c r="C5748" s="14"/>
    </row>
    <row r="5749" spans="3:3" x14ac:dyDescent="0.3">
      <c r="C5749" s="14"/>
    </row>
    <row r="5750" spans="3:3" x14ac:dyDescent="0.3">
      <c r="C5750" s="14"/>
    </row>
    <row r="5751" spans="3:3" x14ac:dyDescent="0.3">
      <c r="C5751" s="14"/>
    </row>
    <row r="5752" spans="3:3" x14ac:dyDescent="0.3">
      <c r="C5752" s="14"/>
    </row>
    <row r="5753" spans="3:3" x14ac:dyDescent="0.3">
      <c r="C5753" s="14"/>
    </row>
    <row r="5754" spans="3:3" x14ac:dyDescent="0.3">
      <c r="C5754" s="14"/>
    </row>
    <row r="5755" spans="3:3" x14ac:dyDescent="0.3">
      <c r="C5755" s="14"/>
    </row>
    <row r="5756" spans="3:3" x14ac:dyDescent="0.3">
      <c r="C5756" s="14"/>
    </row>
    <row r="5757" spans="3:3" x14ac:dyDescent="0.3">
      <c r="C5757" s="14"/>
    </row>
    <row r="5758" spans="3:3" x14ac:dyDescent="0.3">
      <c r="C5758" s="14"/>
    </row>
    <row r="5759" spans="3:3" x14ac:dyDescent="0.3">
      <c r="C5759" s="14"/>
    </row>
    <row r="5760" spans="3:3" x14ac:dyDescent="0.3">
      <c r="C5760" s="14"/>
    </row>
    <row r="5761" spans="3:3" x14ac:dyDescent="0.3">
      <c r="C5761" s="14"/>
    </row>
    <row r="5762" spans="3:3" x14ac:dyDescent="0.3">
      <c r="C5762" s="14"/>
    </row>
    <row r="5763" spans="3:3" x14ac:dyDescent="0.3">
      <c r="C5763" s="14"/>
    </row>
    <row r="5764" spans="3:3" x14ac:dyDescent="0.3">
      <c r="C5764" s="14"/>
    </row>
    <row r="5765" spans="3:3" x14ac:dyDescent="0.3">
      <c r="C5765" s="14"/>
    </row>
    <row r="5766" spans="3:3" x14ac:dyDescent="0.3">
      <c r="C5766" s="14"/>
    </row>
    <row r="5767" spans="3:3" x14ac:dyDescent="0.3">
      <c r="C5767" s="14"/>
    </row>
    <row r="5768" spans="3:3" x14ac:dyDescent="0.3">
      <c r="C5768" s="14"/>
    </row>
    <row r="5769" spans="3:3" x14ac:dyDescent="0.3">
      <c r="C5769" s="14"/>
    </row>
    <row r="5770" spans="3:3" x14ac:dyDescent="0.3">
      <c r="C5770" s="14"/>
    </row>
    <row r="5771" spans="3:3" x14ac:dyDescent="0.3">
      <c r="C5771" s="14"/>
    </row>
    <row r="5772" spans="3:3" x14ac:dyDescent="0.3">
      <c r="C5772" s="14"/>
    </row>
    <row r="5773" spans="3:3" x14ac:dyDescent="0.3">
      <c r="C5773" s="14"/>
    </row>
    <row r="5774" spans="3:3" x14ac:dyDescent="0.3">
      <c r="C5774" s="14"/>
    </row>
    <row r="5775" spans="3:3" x14ac:dyDescent="0.3">
      <c r="C5775" s="14"/>
    </row>
    <row r="5776" spans="3:3" x14ac:dyDescent="0.3">
      <c r="C5776" s="14"/>
    </row>
    <row r="5777" spans="3:3" x14ac:dyDescent="0.3">
      <c r="C5777" s="14"/>
    </row>
    <row r="5778" spans="3:3" x14ac:dyDescent="0.3">
      <c r="C5778" s="14"/>
    </row>
    <row r="5779" spans="3:3" x14ac:dyDescent="0.3">
      <c r="C5779" s="14"/>
    </row>
    <row r="5780" spans="3:3" x14ac:dyDescent="0.3">
      <c r="C5780" s="14"/>
    </row>
    <row r="5781" spans="3:3" x14ac:dyDescent="0.3">
      <c r="C5781" s="14"/>
    </row>
    <row r="5782" spans="3:3" x14ac:dyDescent="0.3">
      <c r="C5782" s="14"/>
    </row>
    <row r="5783" spans="3:3" x14ac:dyDescent="0.3">
      <c r="C5783" s="14"/>
    </row>
    <row r="5784" spans="3:3" x14ac:dyDescent="0.3">
      <c r="C5784" s="14"/>
    </row>
    <row r="5785" spans="3:3" x14ac:dyDescent="0.3">
      <c r="C5785" s="14"/>
    </row>
    <row r="5786" spans="3:3" x14ac:dyDescent="0.3">
      <c r="C5786" s="14"/>
    </row>
    <row r="5787" spans="3:3" x14ac:dyDescent="0.3">
      <c r="C5787" s="14"/>
    </row>
    <row r="5788" spans="3:3" x14ac:dyDescent="0.3">
      <c r="C5788" s="14"/>
    </row>
    <row r="5789" spans="3:3" x14ac:dyDescent="0.3">
      <c r="C5789" s="14"/>
    </row>
    <row r="5790" spans="3:3" x14ac:dyDescent="0.3">
      <c r="C5790" s="14"/>
    </row>
    <row r="5791" spans="3:3" x14ac:dyDescent="0.3">
      <c r="C5791" s="14"/>
    </row>
    <row r="5792" spans="3:3" x14ac:dyDescent="0.3">
      <c r="C5792" s="14"/>
    </row>
    <row r="5793" spans="3:3" x14ac:dyDescent="0.3">
      <c r="C5793" s="14"/>
    </row>
    <row r="5794" spans="3:3" x14ac:dyDescent="0.3">
      <c r="C5794" s="14"/>
    </row>
    <row r="5795" spans="3:3" x14ac:dyDescent="0.3">
      <c r="C5795" s="14"/>
    </row>
    <row r="5796" spans="3:3" x14ac:dyDescent="0.3">
      <c r="C5796" s="14"/>
    </row>
    <row r="5797" spans="3:3" x14ac:dyDescent="0.3">
      <c r="C5797" s="14"/>
    </row>
    <row r="5798" spans="3:3" x14ac:dyDescent="0.3">
      <c r="C5798" s="14"/>
    </row>
    <row r="5799" spans="3:3" x14ac:dyDescent="0.3">
      <c r="C5799" s="14"/>
    </row>
    <row r="5800" spans="3:3" x14ac:dyDescent="0.3">
      <c r="C5800" s="14"/>
    </row>
    <row r="5801" spans="3:3" x14ac:dyDescent="0.3">
      <c r="C5801" s="14"/>
    </row>
    <row r="5802" spans="3:3" x14ac:dyDescent="0.3">
      <c r="C5802" s="14"/>
    </row>
    <row r="5803" spans="3:3" x14ac:dyDescent="0.3">
      <c r="C5803" s="14"/>
    </row>
    <row r="5804" spans="3:3" x14ac:dyDescent="0.3">
      <c r="C5804" s="14"/>
    </row>
    <row r="5805" spans="3:3" x14ac:dyDescent="0.3">
      <c r="C5805" s="14"/>
    </row>
    <row r="5806" spans="3:3" x14ac:dyDescent="0.3">
      <c r="C5806" s="14"/>
    </row>
    <row r="5807" spans="3:3" x14ac:dyDescent="0.3">
      <c r="C5807" s="14"/>
    </row>
    <row r="5808" spans="3:3" x14ac:dyDescent="0.3">
      <c r="C5808" s="14"/>
    </row>
    <row r="5809" spans="3:3" x14ac:dyDescent="0.3">
      <c r="C5809" s="14"/>
    </row>
    <row r="5810" spans="3:3" x14ac:dyDescent="0.3">
      <c r="C5810" s="14"/>
    </row>
    <row r="5811" spans="3:3" x14ac:dyDescent="0.3">
      <c r="C5811" s="14"/>
    </row>
    <row r="5812" spans="3:3" x14ac:dyDescent="0.3">
      <c r="C5812" s="14"/>
    </row>
    <row r="5813" spans="3:3" x14ac:dyDescent="0.3">
      <c r="C5813" s="14"/>
    </row>
    <row r="5814" spans="3:3" x14ac:dyDescent="0.3">
      <c r="C5814" s="14"/>
    </row>
    <row r="5815" spans="3:3" x14ac:dyDescent="0.3">
      <c r="C5815" s="14"/>
    </row>
    <row r="5816" spans="3:3" x14ac:dyDescent="0.3">
      <c r="C5816" s="14"/>
    </row>
    <row r="5817" spans="3:3" x14ac:dyDescent="0.3">
      <c r="C5817" s="14"/>
    </row>
    <row r="5818" spans="3:3" x14ac:dyDescent="0.3">
      <c r="C5818" s="14"/>
    </row>
    <row r="5819" spans="3:3" x14ac:dyDescent="0.3">
      <c r="C5819" s="14"/>
    </row>
    <row r="5820" spans="3:3" x14ac:dyDescent="0.3">
      <c r="C5820" s="14"/>
    </row>
    <row r="5821" spans="3:3" x14ac:dyDescent="0.3">
      <c r="C5821" s="14"/>
    </row>
    <row r="5822" spans="3:3" x14ac:dyDescent="0.3">
      <c r="C5822" s="14"/>
    </row>
    <row r="5823" spans="3:3" x14ac:dyDescent="0.3">
      <c r="C5823" s="14"/>
    </row>
    <row r="5824" spans="3:3" x14ac:dyDescent="0.3">
      <c r="C5824" s="14"/>
    </row>
    <row r="5825" spans="3:3" x14ac:dyDescent="0.3">
      <c r="C5825" s="14"/>
    </row>
    <row r="5826" spans="3:3" x14ac:dyDescent="0.3">
      <c r="C5826" s="14"/>
    </row>
    <row r="5827" spans="3:3" x14ac:dyDescent="0.3">
      <c r="C5827" s="14"/>
    </row>
    <row r="5828" spans="3:3" x14ac:dyDescent="0.3">
      <c r="C5828" s="14"/>
    </row>
    <row r="5829" spans="3:3" x14ac:dyDescent="0.3">
      <c r="C5829" s="14"/>
    </row>
    <row r="5830" spans="3:3" x14ac:dyDescent="0.3">
      <c r="C5830" s="14"/>
    </row>
    <row r="5831" spans="3:3" x14ac:dyDescent="0.3">
      <c r="C5831" s="14"/>
    </row>
    <row r="5832" spans="3:3" x14ac:dyDescent="0.3">
      <c r="C5832" s="14"/>
    </row>
    <row r="5833" spans="3:3" x14ac:dyDescent="0.3">
      <c r="C5833" s="14"/>
    </row>
    <row r="5834" spans="3:3" x14ac:dyDescent="0.3">
      <c r="C5834" s="14"/>
    </row>
    <row r="5835" spans="3:3" x14ac:dyDescent="0.3">
      <c r="C5835" s="14"/>
    </row>
    <row r="5836" spans="3:3" x14ac:dyDescent="0.3">
      <c r="C5836" s="14"/>
    </row>
    <row r="5837" spans="3:3" x14ac:dyDescent="0.3">
      <c r="C5837" s="14"/>
    </row>
    <row r="5838" spans="3:3" x14ac:dyDescent="0.3">
      <c r="C5838" s="14"/>
    </row>
    <row r="5839" spans="3:3" x14ac:dyDescent="0.3">
      <c r="C5839" s="14"/>
    </row>
    <row r="5840" spans="3:3" x14ac:dyDescent="0.3">
      <c r="C5840" s="14"/>
    </row>
    <row r="5841" spans="3:3" x14ac:dyDescent="0.3">
      <c r="C5841" s="14"/>
    </row>
    <row r="5842" spans="3:3" x14ac:dyDescent="0.3">
      <c r="C5842" s="14"/>
    </row>
    <row r="5843" spans="3:3" x14ac:dyDescent="0.3">
      <c r="C5843" s="14"/>
    </row>
    <row r="5844" spans="3:3" x14ac:dyDescent="0.3">
      <c r="C5844" s="14"/>
    </row>
    <row r="5845" spans="3:3" x14ac:dyDescent="0.3">
      <c r="C5845" s="14"/>
    </row>
    <row r="5846" spans="3:3" x14ac:dyDescent="0.3">
      <c r="C5846" s="14"/>
    </row>
    <row r="5847" spans="3:3" x14ac:dyDescent="0.3">
      <c r="C5847" s="14"/>
    </row>
    <row r="5848" spans="3:3" x14ac:dyDescent="0.3">
      <c r="C5848" s="14"/>
    </row>
    <row r="5849" spans="3:3" x14ac:dyDescent="0.3">
      <c r="C5849" s="14"/>
    </row>
    <row r="5850" spans="3:3" x14ac:dyDescent="0.3">
      <c r="C5850" s="14"/>
    </row>
    <row r="5851" spans="3:3" x14ac:dyDescent="0.3">
      <c r="C5851" s="14"/>
    </row>
    <row r="5852" spans="3:3" x14ac:dyDescent="0.3">
      <c r="C5852" s="14"/>
    </row>
    <row r="5853" spans="3:3" x14ac:dyDescent="0.3">
      <c r="C5853" s="14"/>
    </row>
    <row r="5854" spans="3:3" x14ac:dyDescent="0.3">
      <c r="C5854" s="14"/>
    </row>
    <row r="5855" spans="3:3" x14ac:dyDescent="0.3">
      <c r="C5855" s="14"/>
    </row>
    <row r="5856" spans="3:3" x14ac:dyDescent="0.3">
      <c r="C5856" s="14"/>
    </row>
    <row r="5857" spans="3:3" x14ac:dyDescent="0.3">
      <c r="C5857" s="14"/>
    </row>
    <row r="5858" spans="3:3" x14ac:dyDescent="0.3">
      <c r="C5858" s="14"/>
    </row>
    <row r="5859" spans="3:3" x14ac:dyDescent="0.3">
      <c r="C5859" s="14"/>
    </row>
    <row r="5860" spans="3:3" x14ac:dyDescent="0.3">
      <c r="C5860" s="14"/>
    </row>
    <row r="5861" spans="3:3" x14ac:dyDescent="0.3">
      <c r="C5861" s="14"/>
    </row>
    <row r="5862" spans="3:3" x14ac:dyDescent="0.3">
      <c r="C5862" s="14"/>
    </row>
    <row r="5863" spans="3:3" x14ac:dyDescent="0.3">
      <c r="C5863" s="14"/>
    </row>
    <row r="5864" spans="3:3" x14ac:dyDescent="0.3">
      <c r="C5864" s="14"/>
    </row>
    <row r="5865" spans="3:3" x14ac:dyDescent="0.3">
      <c r="C5865" s="14"/>
    </row>
    <row r="5866" spans="3:3" x14ac:dyDescent="0.3">
      <c r="C5866" s="14"/>
    </row>
    <row r="5867" spans="3:3" x14ac:dyDescent="0.3">
      <c r="C5867" s="14"/>
    </row>
    <row r="5868" spans="3:3" x14ac:dyDescent="0.3">
      <c r="C5868" s="14"/>
    </row>
    <row r="5869" spans="3:3" x14ac:dyDescent="0.3">
      <c r="C5869" s="14"/>
    </row>
    <row r="5870" spans="3:3" x14ac:dyDescent="0.3">
      <c r="C5870" s="14"/>
    </row>
    <row r="5871" spans="3:3" x14ac:dyDescent="0.3">
      <c r="C5871" s="14"/>
    </row>
    <row r="5872" spans="3:3" x14ac:dyDescent="0.3">
      <c r="C5872" s="14"/>
    </row>
    <row r="5873" spans="3:12" x14ac:dyDescent="0.3">
      <c r="C5873" s="14"/>
    </row>
    <row r="5874" spans="3:12" x14ac:dyDescent="0.3">
      <c r="C5874" s="14"/>
    </row>
    <row r="5875" spans="3:12" x14ac:dyDescent="0.3">
      <c r="C5875" s="14"/>
    </row>
    <row r="5876" spans="3:12" x14ac:dyDescent="0.3">
      <c r="C5876" s="14"/>
    </row>
    <row r="5877" spans="3:12" x14ac:dyDescent="0.3">
      <c r="C5877" s="14"/>
      <c r="L5877" s="14"/>
    </row>
    <row r="5878" spans="3:12" x14ac:dyDescent="0.3">
      <c r="C5878" s="14"/>
      <c r="L5878" s="14"/>
    </row>
    <row r="5879" spans="3:12" x14ac:dyDescent="0.3">
      <c r="C5879" s="14"/>
      <c r="L5879" s="14"/>
    </row>
    <row r="5880" spans="3:12" x14ac:dyDescent="0.3">
      <c r="C5880" s="14"/>
      <c r="L5880" s="14"/>
    </row>
    <row r="5881" spans="3:12" x14ac:dyDescent="0.3">
      <c r="C5881" s="14"/>
      <c r="L5881" s="14"/>
    </row>
    <row r="5882" spans="3:12" x14ac:dyDescent="0.3">
      <c r="C5882" s="14"/>
      <c r="L5882" s="14"/>
    </row>
    <row r="5883" spans="3:12" x14ac:dyDescent="0.3">
      <c r="C5883" s="14"/>
      <c r="L5883" s="14"/>
    </row>
    <row r="5884" spans="3:12" x14ac:dyDescent="0.3">
      <c r="C5884" s="14"/>
      <c r="L5884" s="14"/>
    </row>
    <row r="5885" spans="3:12" x14ac:dyDescent="0.3">
      <c r="C5885" s="14"/>
      <c r="L5885" s="14"/>
    </row>
    <row r="5886" spans="3:12" x14ac:dyDescent="0.3">
      <c r="C5886" s="14"/>
      <c r="L5886" s="14"/>
    </row>
    <row r="5887" spans="3:12" x14ac:dyDescent="0.3">
      <c r="C5887" s="14"/>
      <c r="L5887" s="14"/>
    </row>
    <row r="5888" spans="3:12" x14ac:dyDescent="0.3">
      <c r="C5888" s="14"/>
      <c r="L5888" s="14"/>
    </row>
    <row r="5889" spans="3:12" x14ac:dyDescent="0.3">
      <c r="C5889" s="14"/>
      <c r="L5889" s="14"/>
    </row>
    <row r="5890" spans="3:12" x14ac:dyDescent="0.3">
      <c r="C5890" s="14"/>
      <c r="L5890" s="14"/>
    </row>
    <row r="5891" spans="3:12" x14ac:dyDescent="0.3">
      <c r="C5891" s="14"/>
      <c r="L5891" s="14"/>
    </row>
    <row r="5892" spans="3:12" x14ac:dyDescent="0.3">
      <c r="C5892" s="14"/>
      <c r="L5892" s="14"/>
    </row>
    <row r="5893" spans="3:12" x14ac:dyDescent="0.3">
      <c r="C5893" s="14"/>
      <c r="L5893" s="14"/>
    </row>
    <row r="5894" spans="3:12" x14ac:dyDescent="0.3">
      <c r="C5894" s="14"/>
      <c r="L5894" s="14"/>
    </row>
    <row r="5895" spans="3:12" x14ac:dyDescent="0.3">
      <c r="C5895" s="14"/>
      <c r="L5895" s="14"/>
    </row>
    <row r="5896" spans="3:12" x14ac:dyDescent="0.3">
      <c r="C5896" s="14"/>
      <c r="L5896" s="14"/>
    </row>
    <row r="5897" spans="3:12" x14ac:dyDescent="0.3">
      <c r="C5897" s="14"/>
      <c r="L5897" s="14"/>
    </row>
    <row r="5898" spans="3:12" x14ac:dyDescent="0.3">
      <c r="C5898" s="14"/>
      <c r="L5898" s="14"/>
    </row>
    <row r="5899" spans="3:12" x14ac:dyDescent="0.3">
      <c r="C5899" s="14"/>
      <c r="L5899" s="14"/>
    </row>
    <row r="5900" spans="3:12" x14ac:dyDescent="0.3">
      <c r="C5900" s="14"/>
      <c r="L5900" s="14"/>
    </row>
    <row r="5901" spans="3:12" x14ac:dyDescent="0.3">
      <c r="C5901" s="14"/>
      <c r="L5901" s="14"/>
    </row>
    <row r="5902" spans="3:12" x14ac:dyDescent="0.3">
      <c r="C5902" s="14"/>
      <c r="L5902" s="14"/>
    </row>
    <row r="5903" spans="3:12" x14ac:dyDescent="0.3">
      <c r="C5903" s="14"/>
      <c r="L5903" s="14"/>
    </row>
    <row r="5904" spans="3:12" x14ac:dyDescent="0.3">
      <c r="C5904" s="14"/>
      <c r="L5904" s="14"/>
    </row>
    <row r="5905" spans="3:12" x14ac:dyDescent="0.3">
      <c r="C5905" s="14"/>
      <c r="L5905" s="14"/>
    </row>
    <row r="5906" spans="3:12" x14ac:dyDescent="0.3">
      <c r="C5906" s="14"/>
      <c r="L5906" s="14"/>
    </row>
    <row r="5907" spans="3:12" x14ac:dyDescent="0.3">
      <c r="C5907" s="14"/>
      <c r="L5907" s="14"/>
    </row>
    <row r="5908" spans="3:12" x14ac:dyDescent="0.3">
      <c r="C5908" s="14"/>
      <c r="L5908" s="14"/>
    </row>
    <row r="5909" spans="3:12" x14ac:dyDescent="0.3">
      <c r="C5909" s="14"/>
      <c r="L5909" s="14"/>
    </row>
    <row r="5910" spans="3:12" x14ac:dyDescent="0.3">
      <c r="C5910" s="14"/>
      <c r="L5910" s="14"/>
    </row>
    <row r="5911" spans="3:12" x14ac:dyDescent="0.3">
      <c r="C5911" s="14"/>
      <c r="L5911" s="14"/>
    </row>
    <row r="5912" spans="3:12" x14ac:dyDescent="0.3">
      <c r="C5912" s="14"/>
      <c r="L5912" s="14"/>
    </row>
    <row r="5913" spans="3:12" x14ac:dyDescent="0.3">
      <c r="C5913" s="14"/>
      <c r="L5913" s="14"/>
    </row>
    <row r="5914" spans="3:12" x14ac:dyDescent="0.3">
      <c r="C5914" s="14"/>
      <c r="L5914" s="14"/>
    </row>
    <row r="5915" spans="3:12" x14ac:dyDescent="0.3">
      <c r="C5915" s="14"/>
      <c r="L5915" s="14"/>
    </row>
    <row r="5916" spans="3:12" x14ac:dyDescent="0.3">
      <c r="C5916" s="14"/>
      <c r="L5916" s="14"/>
    </row>
    <row r="5917" spans="3:12" x14ac:dyDescent="0.3">
      <c r="C5917" s="14"/>
      <c r="L5917" s="14"/>
    </row>
    <row r="5918" spans="3:12" x14ac:dyDescent="0.3">
      <c r="C5918" s="14"/>
      <c r="L5918" s="14"/>
    </row>
    <row r="5919" spans="3:12" x14ac:dyDescent="0.3">
      <c r="C5919" s="14"/>
      <c r="L5919" s="14"/>
    </row>
    <row r="5920" spans="3:12" x14ac:dyDescent="0.3">
      <c r="C5920" s="14"/>
      <c r="L5920" s="14"/>
    </row>
    <row r="5921" spans="3:12" x14ac:dyDescent="0.3">
      <c r="C5921" s="14"/>
      <c r="L5921" s="14"/>
    </row>
    <row r="5922" spans="3:12" x14ac:dyDescent="0.3">
      <c r="C5922" s="14"/>
      <c r="L5922" s="14"/>
    </row>
    <row r="5923" spans="3:12" x14ac:dyDescent="0.3">
      <c r="C5923" s="14"/>
      <c r="L5923" s="14"/>
    </row>
    <row r="5924" spans="3:12" x14ac:dyDescent="0.3">
      <c r="C5924" s="14"/>
      <c r="L5924" s="14"/>
    </row>
    <row r="5925" spans="3:12" x14ac:dyDescent="0.3">
      <c r="C5925" s="14"/>
      <c r="L5925" s="14"/>
    </row>
    <row r="5926" spans="3:12" x14ac:dyDescent="0.3">
      <c r="C5926" s="14"/>
      <c r="L5926" s="14"/>
    </row>
    <row r="5927" spans="3:12" x14ac:dyDescent="0.3">
      <c r="C5927" s="14"/>
      <c r="L5927" s="14"/>
    </row>
    <row r="5928" spans="3:12" x14ac:dyDescent="0.3">
      <c r="C5928" s="14"/>
      <c r="L5928" s="14"/>
    </row>
    <row r="5929" spans="3:12" x14ac:dyDescent="0.3">
      <c r="C5929" s="14"/>
      <c r="L5929" s="14"/>
    </row>
    <row r="5930" spans="3:12" x14ac:dyDescent="0.3">
      <c r="C5930" s="14"/>
      <c r="L5930" s="14"/>
    </row>
    <row r="5931" spans="3:12" x14ac:dyDescent="0.3">
      <c r="C5931" s="14"/>
      <c r="L5931" s="14"/>
    </row>
    <row r="5932" spans="3:12" x14ac:dyDescent="0.3">
      <c r="C5932" s="14"/>
      <c r="L5932" s="14"/>
    </row>
    <row r="5933" spans="3:12" x14ac:dyDescent="0.3">
      <c r="C5933" s="14"/>
      <c r="L5933" s="14"/>
    </row>
    <row r="5934" spans="3:12" x14ac:dyDescent="0.3">
      <c r="C5934" s="14"/>
      <c r="L5934" s="14"/>
    </row>
    <row r="5935" spans="3:12" x14ac:dyDescent="0.3">
      <c r="C5935" s="14"/>
      <c r="L5935" s="14"/>
    </row>
    <row r="5936" spans="3:12" x14ac:dyDescent="0.3">
      <c r="C5936" s="14"/>
      <c r="L5936" s="14"/>
    </row>
    <row r="5937" spans="3:12" x14ac:dyDescent="0.3">
      <c r="C5937" s="14"/>
      <c r="L5937" s="14"/>
    </row>
    <row r="5938" spans="3:12" x14ac:dyDescent="0.3">
      <c r="C5938" s="14"/>
      <c r="L5938" s="14"/>
    </row>
    <row r="5939" spans="3:12" x14ac:dyDescent="0.3">
      <c r="C5939" s="14"/>
      <c r="L5939" s="14"/>
    </row>
    <row r="5940" spans="3:12" x14ac:dyDescent="0.3">
      <c r="C5940" s="14"/>
      <c r="L5940" s="14"/>
    </row>
    <row r="5941" spans="3:12" x14ac:dyDescent="0.3">
      <c r="C5941" s="14"/>
      <c r="L5941" s="14"/>
    </row>
    <row r="5942" spans="3:12" x14ac:dyDescent="0.3">
      <c r="C5942" s="14"/>
      <c r="L5942" s="14"/>
    </row>
    <row r="5943" spans="3:12" x14ac:dyDescent="0.3">
      <c r="C5943" s="14"/>
      <c r="L5943" s="14"/>
    </row>
    <row r="5944" spans="3:12" x14ac:dyDescent="0.3">
      <c r="C5944" s="14"/>
      <c r="L5944" s="14"/>
    </row>
    <row r="5945" spans="3:12" x14ac:dyDescent="0.3">
      <c r="C5945" s="14"/>
      <c r="L5945" s="14"/>
    </row>
    <row r="5946" spans="3:12" x14ac:dyDescent="0.3">
      <c r="C5946" s="14"/>
      <c r="L5946" s="14"/>
    </row>
    <row r="5947" spans="3:12" x14ac:dyDescent="0.3">
      <c r="C5947" s="14"/>
      <c r="L5947" s="14"/>
    </row>
    <row r="5948" spans="3:12" x14ac:dyDescent="0.3">
      <c r="C5948" s="14"/>
      <c r="L5948" s="14"/>
    </row>
    <row r="5949" spans="3:12" x14ac:dyDescent="0.3">
      <c r="C5949" s="14"/>
      <c r="L5949" s="14"/>
    </row>
    <row r="5950" spans="3:12" x14ac:dyDescent="0.3">
      <c r="C5950" s="14"/>
      <c r="L5950" s="14"/>
    </row>
    <row r="5951" spans="3:12" x14ac:dyDescent="0.3">
      <c r="C5951" s="14"/>
      <c r="L5951" s="14"/>
    </row>
    <row r="5952" spans="3:12" x14ac:dyDescent="0.3">
      <c r="C5952" s="14"/>
      <c r="L5952" s="14"/>
    </row>
    <row r="5953" spans="3:12" x14ac:dyDescent="0.3">
      <c r="C5953" s="14"/>
      <c r="L5953" s="14"/>
    </row>
    <row r="5954" spans="3:12" x14ac:dyDescent="0.3">
      <c r="C5954" s="14"/>
      <c r="L5954" s="14"/>
    </row>
    <row r="5955" spans="3:12" x14ac:dyDescent="0.3">
      <c r="C5955" s="14"/>
      <c r="L5955" s="14"/>
    </row>
    <row r="5956" spans="3:12" x14ac:dyDescent="0.3">
      <c r="C5956" s="14"/>
      <c r="L5956" s="14"/>
    </row>
    <row r="5957" spans="3:12" x14ac:dyDescent="0.3">
      <c r="C5957" s="14"/>
      <c r="L5957" s="14"/>
    </row>
    <row r="5958" spans="3:12" x14ac:dyDescent="0.3">
      <c r="C5958" s="14"/>
      <c r="L5958" s="14"/>
    </row>
    <row r="5959" spans="3:12" x14ac:dyDescent="0.3">
      <c r="C5959" s="14"/>
      <c r="L5959" s="14"/>
    </row>
    <row r="5960" spans="3:12" x14ac:dyDescent="0.3">
      <c r="C5960" s="14"/>
      <c r="L5960" s="14"/>
    </row>
    <row r="5961" spans="3:12" x14ac:dyDescent="0.3">
      <c r="C5961" s="14"/>
      <c r="L5961" s="14"/>
    </row>
    <row r="5962" spans="3:12" x14ac:dyDescent="0.3">
      <c r="C5962" s="14"/>
      <c r="L5962" s="14"/>
    </row>
    <row r="5963" spans="3:12" x14ac:dyDescent="0.3">
      <c r="C5963" s="14"/>
      <c r="L5963" s="14"/>
    </row>
    <row r="5964" spans="3:12" x14ac:dyDescent="0.3">
      <c r="C5964" s="14"/>
      <c r="L5964" s="14"/>
    </row>
    <row r="5965" spans="3:12" x14ac:dyDescent="0.3">
      <c r="C5965" s="14"/>
      <c r="L5965" s="14"/>
    </row>
    <row r="5966" spans="3:12" x14ac:dyDescent="0.3">
      <c r="C5966" s="14"/>
      <c r="L5966" s="14"/>
    </row>
    <row r="5967" spans="3:12" x14ac:dyDescent="0.3">
      <c r="C5967" s="14"/>
      <c r="L5967" s="14"/>
    </row>
    <row r="5968" spans="3:12" x14ac:dyDescent="0.3">
      <c r="C5968" s="14"/>
      <c r="L5968" s="14"/>
    </row>
    <row r="5969" spans="3:12" x14ac:dyDescent="0.3">
      <c r="C5969" s="14"/>
      <c r="L5969" s="14"/>
    </row>
    <row r="5970" spans="3:12" x14ac:dyDescent="0.3">
      <c r="C5970" s="14"/>
      <c r="L5970" s="14"/>
    </row>
    <row r="5971" spans="3:12" x14ac:dyDescent="0.3">
      <c r="C5971" s="14"/>
      <c r="L5971" s="14"/>
    </row>
    <row r="5972" spans="3:12" x14ac:dyDescent="0.3">
      <c r="C5972" s="14"/>
      <c r="L5972" s="14"/>
    </row>
    <row r="5973" spans="3:12" x14ac:dyDescent="0.3">
      <c r="C5973" s="14"/>
      <c r="L5973" s="14"/>
    </row>
    <row r="5974" spans="3:12" x14ac:dyDescent="0.3">
      <c r="C5974" s="14"/>
      <c r="L5974" s="14"/>
    </row>
    <row r="5975" spans="3:12" x14ac:dyDescent="0.3">
      <c r="C5975" s="14"/>
      <c r="L5975" s="14"/>
    </row>
    <row r="5976" spans="3:12" x14ac:dyDescent="0.3">
      <c r="C5976" s="14"/>
      <c r="L5976" s="14"/>
    </row>
    <row r="5977" spans="3:12" x14ac:dyDescent="0.3">
      <c r="C5977" s="14"/>
      <c r="L5977" s="14"/>
    </row>
    <row r="5978" spans="3:12" x14ac:dyDescent="0.3">
      <c r="C5978" s="14"/>
      <c r="L5978" s="14"/>
    </row>
    <row r="5979" spans="3:12" x14ac:dyDescent="0.3">
      <c r="C5979" s="14"/>
      <c r="L5979" s="14"/>
    </row>
    <row r="5980" spans="3:12" x14ac:dyDescent="0.3">
      <c r="C5980" s="14"/>
      <c r="L5980" s="14"/>
    </row>
    <row r="5981" spans="3:12" x14ac:dyDescent="0.3">
      <c r="C5981" s="14"/>
      <c r="L5981" s="14"/>
    </row>
    <row r="5982" spans="3:12" x14ac:dyDescent="0.3">
      <c r="C5982" s="14"/>
      <c r="L5982" s="14"/>
    </row>
    <row r="5983" spans="3:12" x14ac:dyDescent="0.3">
      <c r="C5983" s="14"/>
      <c r="L5983" s="14"/>
    </row>
    <row r="5984" spans="3:12" x14ac:dyDescent="0.3">
      <c r="C5984" s="14"/>
      <c r="L5984" s="14"/>
    </row>
    <row r="5985" spans="3:12" x14ac:dyDescent="0.3">
      <c r="C5985" s="14"/>
      <c r="L5985" s="14"/>
    </row>
    <row r="5986" spans="3:12" x14ac:dyDescent="0.3">
      <c r="C5986" s="14"/>
      <c r="L5986" s="14"/>
    </row>
    <row r="5987" spans="3:12" x14ac:dyDescent="0.3">
      <c r="C5987" s="14"/>
      <c r="L5987" s="14"/>
    </row>
    <row r="5988" spans="3:12" x14ac:dyDescent="0.3">
      <c r="C5988" s="14"/>
      <c r="L5988" s="14"/>
    </row>
    <row r="5989" spans="3:12" x14ac:dyDescent="0.3">
      <c r="C5989" s="14"/>
      <c r="L5989" s="14"/>
    </row>
    <row r="5990" spans="3:12" x14ac:dyDescent="0.3">
      <c r="C5990" s="14"/>
      <c r="L5990" s="14"/>
    </row>
    <row r="5991" spans="3:12" x14ac:dyDescent="0.3">
      <c r="C5991" s="14"/>
      <c r="L5991" s="14"/>
    </row>
    <row r="5992" spans="3:12" x14ac:dyDescent="0.3">
      <c r="C5992" s="14"/>
      <c r="L5992" s="14"/>
    </row>
    <row r="5993" spans="3:12" x14ac:dyDescent="0.3">
      <c r="C5993" s="14"/>
      <c r="L5993" s="14"/>
    </row>
    <row r="5994" spans="3:12" x14ac:dyDescent="0.3">
      <c r="C5994" s="14"/>
      <c r="L5994" s="14"/>
    </row>
    <row r="5995" spans="3:12" x14ac:dyDescent="0.3">
      <c r="C5995" s="14"/>
      <c r="L5995" s="14"/>
    </row>
    <row r="5996" spans="3:12" x14ac:dyDescent="0.3">
      <c r="C5996" s="14"/>
      <c r="L5996" s="14"/>
    </row>
    <row r="5997" spans="3:12" x14ac:dyDescent="0.3">
      <c r="C5997" s="14"/>
      <c r="L5997" s="14"/>
    </row>
    <row r="5998" spans="3:12" x14ac:dyDescent="0.3">
      <c r="C5998" s="14"/>
      <c r="L5998" s="14"/>
    </row>
    <row r="5999" spans="3:12" x14ac:dyDescent="0.3">
      <c r="C5999" s="14"/>
      <c r="L5999" s="14"/>
    </row>
    <row r="6000" spans="3:12" x14ac:dyDescent="0.3">
      <c r="C6000" s="14"/>
      <c r="L6000" s="14"/>
    </row>
    <row r="6001" spans="3:12" x14ac:dyDescent="0.3">
      <c r="C6001" s="14"/>
      <c r="L6001" s="14"/>
    </row>
    <row r="6002" spans="3:12" x14ac:dyDescent="0.3">
      <c r="C6002" s="14"/>
      <c r="L6002" s="14"/>
    </row>
    <row r="6003" spans="3:12" x14ac:dyDescent="0.3">
      <c r="L6003" s="14"/>
    </row>
    <row r="6004" spans="3:12" x14ac:dyDescent="0.3">
      <c r="L6004" s="14"/>
    </row>
    <row r="6005" spans="3:12" x14ac:dyDescent="0.3">
      <c r="L6005" s="14"/>
    </row>
    <row r="6006" spans="3:12" x14ac:dyDescent="0.3">
      <c r="L6006" s="14"/>
    </row>
    <row r="6007" spans="3:12" x14ac:dyDescent="0.3">
      <c r="L6007" s="14"/>
    </row>
    <row r="6008" spans="3:12" x14ac:dyDescent="0.3">
      <c r="L6008" s="14"/>
    </row>
    <row r="6009" spans="3:12" x14ac:dyDescent="0.3">
      <c r="L6009" s="14"/>
    </row>
    <row r="6010" spans="3:12" x14ac:dyDescent="0.3">
      <c r="L6010" s="14"/>
    </row>
    <row r="6011" spans="3:12" x14ac:dyDescent="0.3">
      <c r="L6011" s="14"/>
    </row>
    <row r="6012" spans="3:12" x14ac:dyDescent="0.3">
      <c r="L6012" s="14"/>
    </row>
    <row r="6013" spans="3:12" x14ac:dyDescent="0.3">
      <c r="L6013" s="14"/>
    </row>
    <row r="6014" spans="3:12" x14ac:dyDescent="0.3">
      <c r="L6014" s="14"/>
    </row>
    <row r="6015" spans="3:12" x14ac:dyDescent="0.3">
      <c r="L6015" s="14"/>
    </row>
    <row r="6016" spans="3:12" x14ac:dyDescent="0.3">
      <c r="L6016" s="14"/>
    </row>
    <row r="6017" spans="12:12" x14ac:dyDescent="0.3">
      <c r="L6017" s="14"/>
    </row>
    <row r="6018" spans="12:12" x14ac:dyDescent="0.3">
      <c r="L6018" s="14"/>
    </row>
    <row r="6019" spans="12:12" x14ac:dyDescent="0.3">
      <c r="L6019" s="14"/>
    </row>
    <row r="6020" spans="12:12" x14ac:dyDescent="0.3">
      <c r="L6020" s="14"/>
    </row>
    <row r="6021" spans="12:12" x14ac:dyDescent="0.3">
      <c r="L6021" s="14"/>
    </row>
    <row r="6022" spans="12:12" x14ac:dyDescent="0.3">
      <c r="L6022" s="14"/>
    </row>
    <row r="6023" spans="12:12" x14ac:dyDescent="0.3">
      <c r="L6023" s="14"/>
    </row>
    <row r="6024" spans="12:12" x14ac:dyDescent="0.3">
      <c r="L6024" s="14"/>
    </row>
    <row r="6025" spans="12:12" x14ac:dyDescent="0.3">
      <c r="L6025" s="14"/>
    </row>
    <row r="6026" spans="12:12" x14ac:dyDescent="0.3">
      <c r="L6026" s="14"/>
    </row>
    <row r="6027" spans="12:12" x14ac:dyDescent="0.3">
      <c r="L6027" s="14"/>
    </row>
    <row r="6028" spans="12:12" x14ac:dyDescent="0.3">
      <c r="L6028" s="14"/>
    </row>
    <row r="6029" spans="12:12" x14ac:dyDescent="0.3">
      <c r="L6029" s="14"/>
    </row>
    <row r="6030" spans="12:12" x14ac:dyDescent="0.3">
      <c r="L6030" s="14"/>
    </row>
    <row r="6031" spans="12:12" x14ac:dyDescent="0.3">
      <c r="L6031" s="14"/>
    </row>
    <row r="6032" spans="12:12" x14ac:dyDescent="0.3">
      <c r="L6032" s="14"/>
    </row>
    <row r="6033" spans="12:12" x14ac:dyDescent="0.3">
      <c r="L6033" s="14"/>
    </row>
    <row r="6034" spans="12:12" x14ac:dyDescent="0.3">
      <c r="L6034" s="14"/>
    </row>
    <row r="6035" spans="12:12" x14ac:dyDescent="0.3">
      <c r="L6035" s="14"/>
    </row>
    <row r="6036" spans="12:12" x14ac:dyDescent="0.3">
      <c r="L6036" s="14"/>
    </row>
    <row r="6037" spans="12:12" x14ac:dyDescent="0.3">
      <c r="L6037" s="14"/>
    </row>
    <row r="6038" spans="12:12" x14ac:dyDescent="0.3">
      <c r="L6038" s="14"/>
    </row>
    <row r="6039" spans="12:12" x14ac:dyDescent="0.3">
      <c r="L6039" s="14"/>
    </row>
    <row r="6040" spans="12:12" x14ac:dyDescent="0.3">
      <c r="L6040" s="14"/>
    </row>
    <row r="6041" spans="12:12" x14ac:dyDescent="0.3">
      <c r="L6041" s="14"/>
    </row>
    <row r="6042" spans="12:12" x14ac:dyDescent="0.3">
      <c r="L6042" s="14"/>
    </row>
    <row r="6043" spans="12:12" x14ac:dyDescent="0.3">
      <c r="L6043" s="14"/>
    </row>
    <row r="6044" spans="12:12" x14ac:dyDescent="0.3">
      <c r="L6044" s="14"/>
    </row>
    <row r="6045" spans="12:12" x14ac:dyDescent="0.3">
      <c r="L6045" s="14"/>
    </row>
    <row r="6046" spans="12:12" x14ac:dyDescent="0.3">
      <c r="L6046" s="14"/>
    </row>
    <row r="6047" spans="12:12" x14ac:dyDescent="0.3">
      <c r="L6047" s="14"/>
    </row>
    <row r="6048" spans="12:12" x14ac:dyDescent="0.3">
      <c r="L6048" s="14"/>
    </row>
    <row r="6049" spans="12:12" x14ac:dyDescent="0.3">
      <c r="L6049" s="14"/>
    </row>
    <row r="6050" spans="12:12" x14ac:dyDescent="0.3">
      <c r="L6050" s="14"/>
    </row>
    <row r="6051" spans="12:12" x14ac:dyDescent="0.3">
      <c r="L6051" s="14"/>
    </row>
    <row r="6052" spans="12:12" x14ac:dyDescent="0.3">
      <c r="L6052" s="14"/>
    </row>
    <row r="6053" spans="12:12" x14ac:dyDescent="0.3">
      <c r="L6053" s="14"/>
    </row>
    <row r="6054" spans="12:12" x14ac:dyDescent="0.3">
      <c r="L6054" s="14"/>
    </row>
    <row r="6055" spans="12:12" x14ac:dyDescent="0.3">
      <c r="L6055" s="14"/>
    </row>
    <row r="6056" spans="12:12" x14ac:dyDescent="0.3">
      <c r="L6056" s="14"/>
    </row>
    <row r="6057" spans="12:12" x14ac:dyDescent="0.3">
      <c r="L6057" s="14"/>
    </row>
    <row r="6058" spans="12:12" x14ac:dyDescent="0.3">
      <c r="L6058" s="14"/>
    </row>
    <row r="6059" spans="12:12" x14ac:dyDescent="0.3">
      <c r="L6059" s="14"/>
    </row>
    <row r="6060" spans="12:12" x14ac:dyDescent="0.3">
      <c r="L6060" s="14"/>
    </row>
    <row r="6061" spans="12:12" x14ac:dyDescent="0.3">
      <c r="L6061" s="14"/>
    </row>
    <row r="6062" spans="12:12" x14ac:dyDescent="0.3">
      <c r="L6062" s="14"/>
    </row>
    <row r="6063" spans="12:12" x14ac:dyDescent="0.3">
      <c r="L6063" s="14"/>
    </row>
    <row r="6064" spans="12:12" x14ac:dyDescent="0.3">
      <c r="L6064" s="14"/>
    </row>
    <row r="6065" spans="12:12" x14ac:dyDescent="0.3">
      <c r="L6065" s="14"/>
    </row>
    <row r="6066" spans="12:12" x14ac:dyDescent="0.3">
      <c r="L6066" s="14"/>
    </row>
    <row r="6067" spans="12:12" x14ac:dyDescent="0.3">
      <c r="L6067" s="14"/>
    </row>
    <row r="6068" spans="12:12" x14ac:dyDescent="0.3">
      <c r="L6068" s="14"/>
    </row>
    <row r="6069" spans="12:12" x14ac:dyDescent="0.3">
      <c r="L6069" s="14"/>
    </row>
    <row r="6070" spans="12:12" x14ac:dyDescent="0.3">
      <c r="L6070" s="14"/>
    </row>
    <row r="6071" spans="12:12" x14ac:dyDescent="0.3">
      <c r="L6071" s="14"/>
    </row>
    <row r="6072" spans="12:12" x14ac:dyDescent="0.3">
      <c r="L6072" s="14"/>
    </row>
    <row r="6073" spans="12:12" x14ac:dyDescent="0.3">
      <c r="L6073" s="14"/>
    </row>
    <row r="6074" spans="12:12" x14ac:dyDescent="0.3">
      <c r="L6074" s="14"/>
    </row>
    <row r="6075" spans="12:12" x14ac:dyDescent="0.3">
      <c r="L6075" s="14"/>
    </row>
    <row r="6076" spans="12:12" x14ac:dyDescent="0.3">
      <c r="L6076" s="14"/>
    </row>
    <row r="6077" spans="12:12" x14ac:dyDescent="0.3">
      <c r="L6077" s="14"/>
    </row>
    <row r="6078" spans="12:12" x14ac:dyDescent="0.3">
      <c r="L6078" s="14"/>
    </row>
    <row r="6079" spans="12:12" x14ac:dyDescent="0.3">
      <c r="L6079" s="14"/>
    </row>
    <row r="6080" spans="12:12" x14ac:dyDescent="0.3">
      <c r="L6080" s="14"/>
    </row>
    <row r="6081" spans="12:12" x14ac:dyDescent="0.3">
      <c r="L6081" s="14"/>
    </row>
    <row r="6082" spans="12:12" x14ac:dyDescent="0.3">
      <c r="L6082" s="14"/>
    </row>
    <row r="6083" spans="12:12" x14ac:dyDescent="0.3">
      <c r="L6083" s="14"/>
    </row>
    <row r="6084" spans="12:12" x14ac:dyDescent="0.3">
      <c r="L6084" s="14"/>
    </row>
    <row r="6085" spans="12:12" x14ac:dyDescent="0.3">
      <c r="L6085" s="14"/>
    </row>
    <row r="6086" spans="12:12" x14ac:dyDescent="0.3">
      <c r="L6086" s="14"/>
    </row>
    <row r="6087" spans="12:12" x14ac:dyDescent="0.3">
      <c r="L6087" s="14"/>
    </row>
    <row r="6088" spans="12:12" x14ac:dyDescent="0.3">
      <c r="L6088" s="14"/>
    </row>
    <row r="6089" spans="12:12" x14ac:dyDescent="0.3">
      <c r="L6089" s="14"/>
    </row>
    <row r="6090" spans="12:12" x14ac:dyDescent="0.3">
      <c r="L6090" s="14"/>
    </row>
    <row r="6091" spans="12:12" x14ac:dyDescent="0.3">
      <c r="L6091" s="14"/>
    </row>
    <row r="6092" spans="12:12" x14ac:dyDescent="0.3">
      <c r="L6092" s="14"/>
    </row>
    <row r="6093" spans="12:12" x14ac:dyDescent="0.3">
      <c r="L6093" s="14"/>
    </row>
    <row r="6094" spans="12:12" x14ac:dyDescent="0.3">
      <c r="L6094" s="14"/>
    </row>
    <row r="6095" spans="12:12" x14ac:dyDescent="0.3">
      <c r="L6095" s="14"/>
    </row>
    <row r="6096" spans="12:12" x14ac:dyDescent="0.3">
      <c r="L6096" s="14"/>
    </row>
    <row r="6097" spans="12:12" x14ac:dyDescent="0.3">
      <c r="L6097" s="14"/>
    </row>
    <row r="6098" spans="12:12" x14ac:dyDescent="0.3">
      <c r="L6098" s="14"/>
    </row>
    <row r="6099" spans="12:12" x14ac:dyDescent="0.3">
      <c r="L6099" s="14"/>
    </row>
    <row r="6100" spans="12:12" x14ac:dyDescent="0.3">
      <c r="L6100" s="14"/>
    </row>
    <row r="6101" spans="12:12" x14ac:dyDescent="0.3">
      <c r="L6101" s="14"/>
    </row>
    <row r="6102" spans="12:12" x14ac:dyDescent="0.3">
      <c r="L6102" s="14"/>
    </row>
    <row r="6103" spans="12:12" x14ac:dyDescent="0.3">
      <c r="L6103" s="14"/>
    </row>
    <row r="6104" spans="12:12" x14ac:dyDescent="0.3">
      <c r="L6104" s="14"/>
    </row>
    <row r="6105" spans="12:12" x14ac:dyDescent="0.3">
      <c r="L6105" s="14"/>
    </row>
    <row r="6106" spans="12:12" x14ac:dyDescent="0.3">
      <c r="L6106" s="14"/>
    </row>
    <row r="6107" spans="12:12" x14ac:dyDescent="0.3">
      <c r="L6107" s="14"/>
    </row>
    <row r="6108" spans="12:12" x14ac:dyDescent="0.3">
      <c r="L6108" s="14"/>
    </row>
    <row r="6109" spans="12:12" x14ac:dyDescent="0.3">
      <c r="L6109" s="14"/>
    </row>
    <row r="6110" spans="12:12" x14ac:dyDescent="0.3">
      <c r="L6110" s="14"/>
    </row>
    <row r="6111" spans="12:12" x14ac:dyDescent="0.3">
      <c r="L6111" s="14"/>
    </row>
    <row r="6112" spans="12:12" x14ac:dyDescent="0.3">
      <c r="L6112" s="14"/>
    </row>
    <row r="6113" spans="12:12" x14ac:dyDescent="0.3">
      <c r="L6113" s="14"/>
    </row>
    <row r="6114" spans="12:12" x14ac:dyDescent="0.3">
      <c r="L6114" s="14"/>
    </row>
    <row r="6115" spans="12:12" x14ac:dyDescent="0.3">
      <c r="L6115" s="14"/>
    </row>
    <row r="6116" spans="12:12" x14ac:dyDescent="0.3">
      <c r="L6116" s="14"/>
    </row>
    <row r="6117" spans="12:12" x14ac:dyDescent="0.3">
      <c r="L6117" s="14"/>
    </row>
    <row r="6118" spans="12:12" x14ac:dyDescent="0.3">
      <c r="L6118" s="14"/>
    </row>
    <row r="6119" spans="12:12" x14ac:dyDescent="0.3">
      <c r="L6119" s="14"/>
    </row>
    <row r="6120" spans="12:12" x14ac:dyDescent="0.3">
      <c r="L6120" s="14"/>
    </row>
    <row r="6121" spans="12:12" x14ac:dyDescent="0.3">
      <c r="L6121" s="14"/>
    </row>
    <row r="6122" spans="12:12" x14ac:dyDescent="0.3">
      <c r="L6122" s="14"/>
    </row>
    <row r="6123" spans="12:12" x14ac:dyDescent="0.3">
      <c r="L6123" s="14"/>
    </row>
    <row r="6124" spans="12:12" x14ac:dyDescent="0.3">
      <c r="L6124" s="14"/>
    </row>
    <row r="6125" spans="12:12" x14ac:dyDescent="0.3">
      <c r="L6125" s="14"/>
    </row>
    <row r="6126" spans="12:12" x14ac:dyDescent="0.3">
      <c r="L6126" s="14"/>
    </row>
    <row r="6127" spans="12:12" x14ac:dyDescent="0.3">
      <c r="L6127" s="14"/>
    </row>
    <row r="6128" spans="12:12" x14ac:dyDescent="0.3">
      <c r="L6128" s="14"/>
    </row>
    <row r="6129" spans="12:12" x14ac:dyDescent="0.3">
      <c r="L6129" s="14"/>
    </row>
    <row r="6130" spans="12:12" x14ac:dyDescent="0.3">
      <c r="L6130" s="14"/>
    </row>
    <row r="6131" spans="12:12" x14ac:dyDescent="0.3">
      <c r="L6131" s="14"/>
    </row>
    <row r="6132" spans="12:12" x14ac:dyDescent="0.3">
      <c r="L6132" s="14"/>
    </row>
    <row r="6133" spans="12:12" x14ac:dyDescent="0.3">
      <c r="L6133" s="14"/>
    </row>
    <row r="6134" spans="12:12" x14ac:dyDescent="0.3">
      <c r="L6134" s="14"/>
    </row>
    <row r="6135" spans="12:12" x14ac:dyDescent="0.3">
      <c r="L6135" s="14"/>
    </row>
    <row r="6136" spans="12:12" x14ac:dyDescent="0.3">
      <c r="L6136" s="14"/>
    </row>
    <row r="6137" spans="12:12" x14ac:dyDescent="0.3">
      <c r="L6137" s="14"/>
    </row>
    <row r="6138" spans="12:12" x14ac:dyDescent="0.3">
      <c r="L6138" s="14"/>
    </row>
    <row r="6139" spans="12:12" x14ac:dyDescent="0.3">
      <c r="L6139" s="14"/>
    </row>
    <row r="6140" spans="12:12" x14ac:dyDescent="0.3">
      <c r="L6140" s="14"/>
    </row>
    <row r="6141" spans="12:12" x14ac:dyDescent="0.3">
      <c r="L6141" s="14"/>
    </row>
    <row r="6142" spans="12:12" x14ac:dyDescent="0.3">
      <c r="L6142" s="14"/>
    </row>
    <row r="6143" spans="12:12" x14ac:dyDescent="0.3">
      <c r="L6143" s="14"/>
    </row>
    <row r="6144" spans="12:12" x14ac:dyDescent="0.3">
      <c r="L6144" s="14"/>
    </row>
    <row r="6145" spans="12:12" x14ac:dyDescent="0.3">
      <c r="L6145" s="14"/>
    </row>
    <row r="6146" spans="12:12" x14ac:dyDescent="0.3">
      <c r="L6146" s="14"/>
    </row>
    <row r="6147" spans="12:12" x14ac:dyDescent="0.3">
      <c r="L6147" s="14"/>
    </row>
    <row r="6148" spans="12:12" x14ac:dyDescent="0.3">
      <c r="L6148" s="14"/>
    </row>
    <row r="6149" spans="12:12" x14ac:dyDescent="0.3">
      <c r="L6149" s="14"/>
    </row>
    <row r="6150" spans="12:12" x14ac:dyDescent="0.3">
      <c r="L6150" s="14"/>
    </row>
    <row r="6151" spans="12:12" x14ac:dyDescent="0.3">
      <c r="L6151" s="14"/>
    </row>
    <row r="6152" spans="12:12" x14ac:dyDescent="0.3">
      <c r="L6152" s="14"/>
    </row>
    <row r="6153" spans="12:12" x14ac:dyDescent="0.3">
      <c r="L6153" s="14"/>
    </row>
    <row r="6154" spans="12:12" x14ac:dyDescent="0.3">
      <c r="L6154" s="14"/>
    </row>
    <row r="6155" spans="12:12" x14ac:dyDescent="0.3">
      <c r="L6155" s="14"/>
    </row>
    <row r="6156" spans="12:12" x14ac:dyDescent="0.3">
      <c r="L6156" s="14"/>
    </row>
    <row r="6157" spans="12:12" x14ac:dyDescent="0.3">
      <c r="L6157" s="14"/>
    </row>
    <row r="6158" spans="12:12" x14ac:dyDescent="0.3">
      <c r="L6158" s="14"/>
    </row>
    <row r="6159" spans="12:12" x14ac:dyDescent="0.3">
      <c r="L6159" s="14"/>
    </row>
    <row r="6160" spans="12:12" x14ac:dyDescent="0.3">
      <c r="L6160" s="14"/>
    </row>
    <row r="6161" spans="12:12" x14ac:dyDescent="0.3">
      <c r="L6161" s="14"/>
    </row>
    <row r="6162" spans="12:12" x14ac:dyDescent="0.3">
      <c r="L6162" s="14"/>
    </row>
    <row r="6163" spans="12:12" x14ac:dyDescent="0.3">
      <c r="L6163" s="14"/>
    </row>
    <row r="6164" spans="12:12" x14ac:dyDescent="0.3">
      <c r="L6164" s="14"/>
    </row>
    <row r="6165" spans="12:12" x14ac:dyDescent="0.3">
      <c r="L6165" s="14"/>
    </row>
    <row r="6166" spans="12:12" x14ac:dyDescent="0.3">
      <c r="L6166" s="14"/>
    </row>
    <row r="6167" spans="12:12" x14ac:dyDescent="0.3">
      <c r="L6167" s="14"/>
    </row>
    <row r="6168" spans="12:12" x14ac:dyDescent="0.3">
      <c r="L6168" s="14"/>
    </row>
    <row r="6169" spans="12:12" x14ac:dyDescent="0.3">
      <c r="L6169" s="14"/>
    </row>
    <row r="6170" spans="12:12" x14ac:dyDescent="0.3">
      <c r="L6170" s="14"/>
    </row>
    <row r="6171" spans="12:12" x14ac:dyDescent="0.3">
      <c r="L6171" s="14"/>
    </row>
    <row r="6172" spans="12:12" x14ac:dyDescent="0.3">
      <c r="L6172" s="14"/>
    </row>
    <row r="6173" spans="12:12" x14ac:dyDescent="0.3">
      <c r="L6173" s="14"/>
    </row>
    <row r="6174" spans="12:12" x14ac:dyDescent="0.3">
      <c r="L6174" s="14"/>
    </row>
    <row r="6175" spans="12:12" x14ac:dyDescent="0.3">
      <c r="L6175" s="14"/>
    </row>
    <row r="6176" spans="12:12" x14ac:dyDescent="0.3">
      <c r="L6176" s="14"/>
    </row>
    <row r="6177" spans="12:12" x14ac:dyDescent="0.3">
      <c r="L6177" s="14"/>
    </row>
    <row r="6178" spans="12:12" x14ac:dyDescent="0.3">
      <c r="L6178" s="14"/>
    </row>
    <row r="6179" spans="12:12" x14ac:dyDescent="0.3">
      <c r="L6179" s="14"/>
    </row>
    <row r="6180" spans="12:12" x14ac:dyDescent="0.3">
      <c r="L6180" s="14"/>
    </row>
    <row r="6181" spans="12:12" x14ac:dyDescent="0.3">
      <c r="L6181" s="14"/>
    </row>
    <row r="6182" spans="12:12" x14ac:dyDescent="0.3">
      <c r="L6182" s="14"/>
    </row>
    <row r="6183" spans="12:12" x14ac:dyDescent="0.3">
      <c r="L6183" s="14"/>
    </row>
    <row r="6184" spans="12:12" x14ac:dyDescent="0.3">
      <c r="L6184" s="14"/>
    </row>
    <row r="6185" spans="12:12" x14ac:dyDescent="0.3">
      <c r="L6185" s="14"/>
    </row>
    <row r="6186" spans="12:12" x14ac:dyDescent="0.3">
      <c r="L6186" s="14"/>
    </row>
    <row r="6187" spans="12:12" x14ac:dyDescent="0.3">
      <c r="L6187" s="14"/>
    </row>
    <row r="6188" spans="12:12" x14ac:dyDescent="0.3">
      <c r="L6188" s="14"/>
    </row>
    <row r="6189" spans="12:12" x14ac:dyDescent="0.3">
      <c r="L6189" s="14"/>
    </row>
    <row r="6190" spans="12:12" x14ac:dyDescent="0.3">
      <c r="L6190" s="14"/>
    </row>
    <row r="6191" spans="12:12" x14ac:dyDescent="0.3">
      <c r="L6191" s="14"/>
    </row>
    <row r="6192" spans="12:12" x14ac:dyDescent="0.3">
      <c r="L6192" s="14"/>
    </row>
    <row r="6193" spans="12:12" x14ac:dyDescent="0.3">
      <c r="L6193" s="14"/>
    </row>
    <row r="6194" spans="12:12" x14ac:dyDescent="0.3">
      <c r="L6194" s="14"/>
    </row>
    <row r="6195" spans="12:12" x14ac:dyDescent="0.3">
      <c r="L6195" s="14"/>
    </row>
    <row r="6196" spans="12:12" x14ac:dyDescent="0.3">
      <c r="L6196" s="14"/>
    </row>
    <row r="6197" spans="12:12" x14ac:dyDescent="0.3">
      <c r="L6197" s="14"/>
    </row>
    <row r="6198" spans="12:12" x14ac:dyDescent="0.3">
      <c r="L6198" s="14"/>
    </row>
    <row r="6199" spans="12:12" x14ac:dyDescent="0.3">
      <c r="L6199" s="14"/>
    </row>
    <row r="6200" spans="12:12" x14ac:dyDescent="0.3">
      <c r="L6200" s="14"/>
    </row>
    <row r="6201" spans="12:12" x14ac:dyDescent="0.3">
      <c r="L6201" s="14"/>
    </row>
    <row r="6202" spans="12:12" x14ac:dyDescent="0.3">
      <c r="L6202" s="14"/>
    </row>
    <row r="6203" spans="12:12" x14ac:dyDescent="0.3">
      <c r="L6203" s="14"/>
    </row>
    <row r="6204" spans="12:12" x14ac:dyDescent="0.3">
      <c r="L6204" s="14"/>
    </row>
    <row r="6205" spans="12:12" x14ac:dyDescent="0.3">
      <c r="L6205" s="14"/>
    </row>
    <row r="6206" spans="12:12" x14ac:dyDescent="0.3">
      <c r="L6206" s="14"/>
    </row>
    <row r="6207" spans="12:12" x14ac:dyDescent="0.3">
      <c r="L6207" s="14"/>
    </row>
    <row r="6208" spans="12:12" x14ac:dyDescent="0.3">
      <c r="L6208" s="14"/>
    </row>
    <row r="6209" spans="12:12" x14ac:dyDescent="0.3">
      <c r="L6209" s="14"/>
    </row>
    <row r="6210" spans="12:12" x14ac:dyDescent="0.3">
      <c r="L6210" s="14"/>
    </row>
    <row r="6211" spans="12:12" x14ac:dyDescent="0.3">
      <c r="L6211" s="14"/>
    </row>
    <row r="6212" spans="12:12" x14ac:dyDescent="0.3">
      <c r="L6212" s="14"/>
    </row>
    <row r="6213" spans="12:12" x14ac:dyDescent="0.3">
      <c r="L6213" s="14"/>
    </row>
    <row r="6214" spans="12:12" x14ac:dyDescent="0.3">
      <c r="L6214" s="14"/>
    </row>
    <row r="6215" spans="12:12" x14ac:dyDescent="0.3">
      <c r="L6215" s="14"/>
    </row>
    <row r="6216" spans="12:12" x14ac:dyDescent="0.3">
      <c r="L6216" s="14"/>
    </row>
    <row r="6217" spans="12:12" x14ac:dyDescent="0.3">
      <c r="L6217" s="14"/>
    </row>
    <row r="6218" spans="12:12" x14ac:dyDescent="0.3">
      <c r="L6218" s="14"/>
    </row>
    <row r="6219" spans="12:12" x14ac:dyDescent="0.3">
      <c r="L6219" s="14"/>
    </row>
    <row r="6220" spans="12:12" x14ac:dyDescent="0.3">
      <c r="L6220" s="14"/>
    </row>
    <row r="6221" spans="12:12" x14ac:dyDescent="0.3">
      <c r="L6221" s="14"/>
    </row>
    <row r="6222" spans="12:12" x14ac:dyDescent="0.3">
      <c r="L6222" s="14"/>
    </row>
    <row r="6223" spans="12:12" x14ac:dyDescent="0.3">
      <c r="L6223" s="14"/>
    </row>
    <row r="6224" spans="12:12" x14ac:dyDescent="0.3">
      <c r="L6224" s="14"/>
    </row>
    <row r="6225" spans="12:12" x14ac:dyDescent="0.3">
      <c r="L6225" s="14"/>
    </row>
    <row r="6226" spans="12:12" x14ac:dyDescent="0.3">
      <c r="L6226" s="14"/>
    </row>
    <row r="6227" spans="12:12" x14ac:dyDescent="0.3">
      <c r="L6227" s="14"/>
    </row>
    <row r="6228" spans="12:12" x14ac:dyDescent="0.3">
      <c r="L6228" s="14"/>
    </row>
    <row r="6229" spans="12:12" x14ac:dyDescent="0.3">
      <c r="L6229" s="14"/>
    </row>
    <row r="6230" spans="12:12" x14ac:dyDescent="0.3">
      <c r="L6230" s="14"/>
    </row>
    <row r="6231" spans="12:12" x14ac:dyDescent="0.3">
      <c r="L6231" s="14"/>
    </row>
    <row r="6232" spans="12:12" x14ac:dyDescent="0.3">
      <c r="L6232" s="14"/>
    </row>
    <row r="6233" spans="12:12" x14ac:dyDescent="0.3">
      <c r="L6233" s="14"/>
    </row>
    <row r="6234" spans="12:12" x14ac:dyDescent="0.3">
      <c r="L6234" s="14"/>
    </row>
    <row r="6235" spans="12:12" x14ac:dyDescent="0.3">
      <c r="L6235" s="14"/>
    </row>
    <row r="6236" spans="12:12" x14ac:dyDescent="0.3">
      <c r="L6236" s="14"/>
    </row>
    <row r="6237" spans="12:12" x14ac:dyDescent="0.3">
      <c r="L6237" s="14"/>
    </row>
    <row r="6238" spans="12:12" x14ac:dyDescent="0.3">
      <c r="L6238" s="14"/>
    </row>
    <row r="6239" spans="12:12" x14ac:dyDescent="0.3">
      <c r="L6239" s="14"/>
    </row>
    <row r="6240" spans="12:12" x14ac:dyDescent="0.3">
      <c r="L6240" s="14"/>
    </row>
    <row r="6241" spans="12:12" x14ac:dyDescent="0.3">
      <c r="L6241" s="14"/>
    </row>
    <row r="6242" spans="12:12" x14ac:dyDescent="0.3">
      <c r="L6242" s="14"/>
    </row>
    <row r="6243" spans="12:12" x14ac:dyDescent="0.3">
      <c r="L6243" s="14"/>
    </row>
    <row r="6244" spans="12:12" x14ac:dyDescent="0.3">
      <c r="L6244" s="14"/>
    </row>
    <row r="6245" spans="12:12" x14ac:dyDescent="0.3">
      <c r="L6245" s="14"/>
    </row>
    <row r="6246" spans="12:12" x14ac:dyDescent="0.3">
      <c r="L6246" s="14"/>
    </row>
    <row r="6247" spans="12:12" x14ac:dyDescent="0.3">
      <c r="L6247" s="14"/>
    </row>
    <row r="6248" spans="12:12" x14ac:dyDescent="0.3">
      <c r="L6248" s="14"/>
    </row>
    <row r="6249" spans="12:12" x14ac:dyDescent="0.3">
      <c r="L6249" s="14"/>
    </row>
    <row r="6250" spans="12:12" x14ac:dyDescent="0.3">
      <c r="L6250" s="14"/>
    </row>
    <row r="6251" spans="12:12" x14ac:dyDescent="0.3">
      <c r="L6251" s="14"/>
    </row>
    <row r="6252" spans="12:12" x14ac:dyDescent="0.3">
      <c r="L6252" s="14"/>
    </row>
    <row r="6253" spans="12:12" x14ac:dyDescent="0.3">
      <c r="L6253" s="14"/>
    </row>
    <row r="6254" spans="12:12" x14ac:dyDescent="0.3">
      <c r="L6254" s="14"/>
    </row>
    <row r="6255" spans="12:12" x14ac:dyDescent="0.3">
      <c r="L6255" s="14"/>
    </row>
    <row r="6256" spans="12:12" x14ac:dyDescent="0.3">
      <c r="L6256" s="14"/>
    </row>
    <row r="6257" spans="12:12" x14ac:dyDescent="0.3">
      <c r="L6257" s="14"/>
    </row>
    <row r="6258" spans="12:12" x14ac:dyDescent="0.3">
      <c r="L6258" s="14"/>
    </row>
    <row r="6259" spans="12:12" x14ac:dyDescent="0.3">
      <c r="L6259" s="14"/>
    </row>
    <row r="6260" spans="12:12" x14ac:dyDescent="0.3">
      <c r="L6260" s="14"/>
    </row>
    <row r="6261" spans="12:12" x14ac:dyDescent="0.3">
      <c r="L6261" s="14"/>
    </row>
    <row r="6262" spans="12:12" x14ac:dyDescent="0.3">
      <c r="L6262" s="14"/>
    </row>
    <row r="6263" spans="12:12" x14ac:dyDescent="0.3">
      <c r="L6263" s="14"/>
    </row>
    <row r="6264" spans="12:12" x14ac:dyDescent="0.3">
      <c r="L6264" s="14"/>
    </row>
    <row r="6265" spans="12:12" x14ac:dyDescent="0.3">
      <c r="L6265" s="14"/>
    </row>
    <row r="6266" spans="12:12" x14ac:dyDescent="0.3">
      <c r="L6266" s="14"/>
    </row>
    <row r="6267" spans="12:12" x14ac:dyDescent="0.3">
      <c r="L6267" s="14"/>
    </row>
    <row r="6268" spans="12:12" x14ac:dyDescent="0.3">
      <c r="L6268" s="14"/>
    </row>
    <row r="6269" spans="12:12" x14ac:dyDescent="0.3">
      <c r="L6269" s="14"/>
    </row>
    <row r="6270" spans="12:12" x14ac:dyDescent="0.3">
      <c r="L6270" s="14"/>
    </row>
    <row r="6271" spans="12:12" x14ac:dyDescent="0.3">
      <c r="L6271" s="14"/>
    </row>
    <row r="6272" spans="12:12" x14ac:dyDescent="0.3">
      <c r="L6272" s="14"/>
    </row>
    <row r="6273" spans="12:12" x14ac:dyDescent="0.3">
      <c r="L6273" s="14"/>
    </row>
    <row r="6274" spans="12:12" x14ac:dyDescent="0.3">
      <c r="L6274" s="14"/>
    </row>
    <row r="6275" spans="12:12" x14ac:dyDescent="0.3">
      <c r="L6275" s="14"/>
    </row>
    <row r="6276" spans="12:12" x14ac:dyDescent="0.3">
      <c r="L6276" s="14"/>
    </row>
    <row r="6277" spans="12:12" x14ac:dyDescent="0.3">
      <c r="L6277" s="14"/>
    </row>
    <row r="6278" spans="12:12" x14ac:dyDescent="0.3">
      <c r="L6278" s="14"/>
    </row>
    <row r="6279" spans="12:12" x14ac:dyDescent="0.3">
      <c r="L6279" s="14"/>
    </row>
    <row r="6280" spans="12:12" x14ac:dyDescent="0.3">
      <c r="L6280" s="14"/>
    </row>
    <row r="6281" spans="12:12" x14ac:dyDescent="0.3">
      <c r="L6281" s="14"/>
    </row>
    <row r="6282" spans="12:12" x14ac:dyDescent="0.3">
      <c r="L6282" s="14"/>
    </row>
    <row r="6283" spans="12:12" x14ac:dyDescent="0.3">
      <c r="L6283" s="14"/>
    </row>
    <row r="6284" spans="12:12" x14ac:dyDescent="0.3">
      <c r="L6284" s="14"/>
    </row>
    <row r="6285" spans="12:12" x14ac:dyDescent="0.3">
      <c r="L6285" s="14"/>
    </row>
    <row r="6286" spans="12:12" x14ac:dyDescent="0.3">
      <c r="L6286" s="14"/>
    </row>
    <row r="6287" spans="12:12" x14ac:dyDescent="0.3">
      <c r="L6287" s="14"/>
    </row>
    <row r="6288" spans="12:12" x14ac:dyDescent="0.3">
      <c r="L6288" s="14"/>
    </row>
    <row r="6289" spans="12:12" x14ac:dyDescent="0.3">
      <c r="L6289" s="14"/>
    </row>
    <row r="6290" spans="12:12" x14ac:dyDescent="0.3">
      <c r="L6290" s="14"/>
    </row>
    <row r="6291" spans="12:12" x14ac:dyDescent="0.3">
      <c r="L6291" s="14"/>
    </row>
    <row r="6292" spans="12:12" x14ac:dyDescent="0.3">
      <c r="L6292" s="14"/>
    </row>
    <row r="6293" spans="12:12" x14ac:dyDescent="0.3">
      <c r="L6293" s="14"/>
    </row>
    <row r="6294" spans="12:12" x14ac:dyDescent="0.3">
      <c r="L6294" s="14"/>
    </row>
    <row r="6295" spans="12:12" x14ac:dyDescent="0.3">
      <c r="L6295" s="14"/>
    </row>
    <row r="6296" spans="12:12" x14ac:dyDescent="0.3">
      <c r="L6296" s="14"/>
    </row>
    <row r="6297" spans="12:12" x14ac:dyDescent="0.3">
      <c r="L6297" s="14"/>
    </row>
    <row r="6298" spans="12:12" x14ac:dyDescent="0.3">
      <c r="L6298" s="14"/>
    </row>
    <row r="6299" spans="12:12" x14ac:dyDescent="0.3">
      <c r="L6299" s="14"/>
    </row>
    <row r="6300" spans="12:12" x14ac:dyDescent="0.3">
      <c r="L6300" s="14"/>
    </row>
    <row r="6301" spans="12:12" x14ac:dyDescent="0.3">
      <c r="L6301" s="14"/>
    </row>
    <row r="6302" spans="12:12" x14ac:dyDescent="0.3">
      <c r="L6302" s="14"/>
    </row>
    <row r="6303" spans="12:12" x14ac:dyDescent="0.3">
      <c r="L6303" s="14"/>
    </row>
    <row r="6304" spans="12:12" x14ac:dyDescent="0.3">
      <c r="L6304" s="14"/>
    </row>
    <row r="6305" spans="12:12" x14ac:dyDescent="0.3">
      <c r="L6305" s="14"/>
    </row>
    <row r="6306" spans="12:12" x14ac:dyDescent="0.3">
      <c r="L6306" s="14"/>
    </row>
    <row r="6307" spans="12:12" x14ac:dyDescent="0.3">
      <c r="L6307" s="14"/>
    </row>
    <row r="6308" spans="12:12" x14ac:dyDescent="0.3">
      <c r="L6308" s="14"/>
    </row>
    <row r="6309" spans="12:12" x14ac:dyDescent="0.3">
      <c r="L6309" s="14"/>
    </row>
    <row r="6310" spans="12:12" x14ac:dyDescent="0.3">
      <c r="L6310" s="14"/>
    </row>
    <row r="6311" spans="12:12" x14ac:dyDescent="0.3">
      <c r="L6311" s="14"/>
    </row>
    <row r="6312" spans="12:12" x14ac:dyDescent="0.3">
      <c r="L6312" s="14"/>
    </row>
    <row r="6313" spans="12:12" x14ac:dyDescent="0.3">
      <c r="L6313" s="14"/>
    </row>
    <row r="6314" spans="12:12" x14ac:dyDescent="0.3">
      <c r="L6314" s="14"/>
    </row>
    <row r="6315" spans="12:12" x14ac:dyDescent="0.3">
      <c r="L6315" s="14"/>
    </row>
    <row r="6316" spans="12:12" x14ac:dyDescent="0.3">
      <c r="L6316" s="14"/>
    </row>
    <row r="6317" spans="12:12" x14ac:dyDescent="0.3">
      <c r="L6317" s="14"/>
    </row>
    <row r="6318" spans="12:12" x14ac:dyDescent="0.3">
      <c r="L6318" s="14"/>
    </row>
    <row r="6319" spans="12:12" x14ac:dyDescent="0.3">
      <c r="L6319" s="14"/>
    </row>
    <row r="6320" spans="12:12" x14ac:dyDescent="0.3">
      <c r="L6320" s="14"/>
    </row>
    <row r="6321" spans="12:12" x14ac:dyDescent="0.3">
      <c r="L6321" s="14"/>
    </row>
    <row r="6322" spans="12:12" x14ac:dyDescent="0.3">
      <c r="L6322" s="14"/>
    </row>
    <row r="6323" spans="12:12" x14ac:dyDescent="0.3">
      <c r="L6323" s="14"/>
    </row>
    <row r="6324" spans="12:12" x14ac:dyDescent="0.3">
      <c r="L6324" s="14"/>
    </row>
    <row r="6325" spans="12:12" x14ac:dyDescent="0.3">
      <c r="L6325" s="14"/>
    </row>
    <row r="6326" spans="12:12" x14ac:dyDescent="0.3">
      <c r="L6326" s="14"/>
    </row>
    <row r="6327" spans="12:12" x14ac:dyDescent="0.3">
      <c r="L6327" s="14"/>
    </row>
    <row r="6328" spans="12:12" x14ac:dyDescent="0.3">
      <c r="L6328" s="14"/>
    </row>
    <row r="6329" spans="12:12" x14ac:dyDescent="0.3">
      <c r="L6329" s="14"/>
    </row>
    <row r="6330" spans="12:12" x14ac:dyDescent="0.3">
      <c r="L6330" s="14"/>
    </row>
    <row r="6331" spans="12:12" x14ac:dyDescent="0.3">
      <c r="L6331" s="14"/>
    </row>
    <row r="6332" spans="12:12" x14ac:dyDescent="0.3">
      <c r="L6332" s="14"/>
    </row>
    <row r="6333" spans="12:12" x14ac:dyDescent="0.3">
      <c r="L6333" s="14"/>
    </row>
    <row r="6334" spans="12:12" x14ac:dyDescent="0.3">
      <c r="L6334" s="14"/>
    </row>
    <row r="6335" spans="12:12" x14ac:dyDescent="0.3">
      <c r="L6335" s="14"/>
    </row>
    <row r="6336" spans="12:12" x14ac:dyDescent="0.3">
      <c r="L6336" s="14"/>
    </row>
    <row r="6337" spans="12:12" x14ac:dyDescent="0.3">
      <c r="L6337" s="14"/>
    </row>
    <row r="6338" spans="12:12" x14ac:dyDescent="0.3">
      <c r="L6338" s="14"/>
    </row>
    <row r="6339" spans="12:12" x14ac:dyDescent="0.3">
      <c r="L6339" s="14"/>
    </row>
    <row r="6340" spans="12:12" x14ac:dyDescent="0.3">
      <c r="L6340" s="14"/>
    </row>
    <row r="6341" spans="12:12" x14ac:dyDescent="0.3">
      <c r="L6341" s="14"/>
    </row>
    <row r="6342" spans="12:12" x14ac:dyDescent="0.3">
      <c r="L6342" s="14"/>
    </row>
    <row r="6343" spans="12:12" x14ac:dyDescent="0.3">
      <c r="L6343" s="14"/>
    </row>
    <row r="6344" spans="12:12" x14ac:dyDescent="0.3">
      <c r="L6344" s="14"/>
    </row>
    <row r="6345" spans="12:12" x14ac:dyDescent="0.3">
      <c r="L6345" s="14"/>
    </row>
    <row r="6346" spans="12:12" x14ac:dyDescent="0.3">
      <c r="L6346" s="14"/>
    </row>
    <row r="6347" spans="12:12" x14ac:dyDescent="0.3">
      <c r="L6347" s="14"/>
    </row>
    <row r="6348" spans="12:12" x14ac:dyDescent="0.3">
      <c r="L6348" s="14"/>
    </row>
    <row r="6349" spans="12:12" x14ac:dyDescent="0.3">
      <c r="L6349" s="14"/>
    </row>
    <row r="6350" spans="12:12" x14ac:dyDescent="0.3">
      <c r="L6350" s="14"/>
    </row>
    <row r="6351" spans="12:12" x14ac:dyDescent="0.3">
      <c r="L6351" s="14"/>
    </row>
    <row r="6352" spans="12:12" x14ac:dyDescent="0.3">
      <c r="L6352" s="14"/>
    </row>
    <row r="6353" spans="12:12" x14ac:dyDescent="0.3">
      <c r="L6353" s="14"/>
    </row>
    <row r="6354" spans="12:12" x14ac:dyDescent="0.3">
      <c r="L6354" s="14"/>
    </row>
    <row r="6355" spans="12:12" x14ac:dyDescent="0.3">
      <c r="L6355" s="14"/>
    </row>
    <row r="6356" spans="12:12" x14ac:dyDescent="0.3">
      <c r="L6356" s="14"/>
    </row>
    <row r="6357" spans="12:12" x14ac:dyDescent="0.3">
      <c r="L6357" s="14"/>
    </row>
    <row r="6358" spans="12:12" x14ac:dyDescent="0.3">
      <c r="L6358" s="14"/>
    </row>
    <row r="6359" spans="12:12" x14ac:dyDescent="0.3">
      <c r="L6359" s="14"/>
    </row>
    <row r="6360" spans="12:12" x14ac:dyDescent="0.3">
      <c r="L6360" s="14"/>
    </row>
    <row r="6361" spans="12:12" x14ac:dyDescent="0.3">
      <c r="L6361" s="14"/>
    </row>
    <row r="6362" spans="12:12" x14ac:dyDescent="0.3">
      <c r="L6362" s="14"/>
    </row>
    <row r="6363" spans="12:12" x14ac:dyDescent="0.3">
      <c r="L6363" s="14"/>
    </row>
    <row r="6364" spans="12:12" x14ac:dyDescent="0.3">
      <c r="L6364" s="14"/>
    </row>
    <row r="6365" spans="12:12" x14ac:dyDescent="0.3">
      <c r="L6365" s="14"/>
    </row>
    <row r="6366" spans="12:12" x14ac:dyDescent="0.3">
      <c r="L6366" s="14"/>
    </row>
    <row r="6367" spans="12:12" x14ac:dyDescent="0.3">
      <c r="L6367" s="14"/>
    </row>
    <row r="6368" spans="12:12" x14ac:dyDescent="0.3">
      <c r="L6368" s="14"/>
    </row>
    <row r="6369" spans="12:12" x14ac:dyDescent="0.3">
      <c r="L6369" s="14"/>
    </row>
    <row r="6370" spans="12:12" x14ac:dyDescent="0.3">
      <c r="L6370" s="14"/>
    </row>
    <row r="6371" spans="12:12" x14ac:dyDescent="0.3">
      <c r="L6371" s="14"/>
    </row>
    <row r="6372" spans="12:12" x14ac:dyDescent="0.3">
      <c r="L6372" s="14"/>
    </row>
    <row r="6373" spans="12:12" x14ac:dyDescent="0.3">
      <c r="L6373" s="14"/>
    </row>
    <row r="6374" spans="12:12" x14ac:dyDescent="0.3">
      <c r="L6374" s="14"/>
    </row>
    <row r="6375" spans="12:12" x14ac:dyDescent="0.3">
      <c r="L6375" s="14"/>
    </row>
    <row r="6376" spans="12:12" x14ac:dyDescent="0.3">
      <c r="L6376" s="14"/>
    </row>
    <row r="6377" spans="12:12" x14ac:dyDescent="0.3">
      <c r="L6377" s="14"/>
    </row>
    <row r="6378" spans="12:12" x14ac:dyDescent="0.3">
      <c r="L6378" s="14"/>
    </row>
    <row r="6379" spans="12:12" x14ac:dyDescent="0.3">
      <c r="L6379" s="14"/>
    </row>
    <row r="6380" spans="12:12" x14ac:dyDescent="0.3">
      <c r="L6380" s="14"/>
    </row>
    <row r="6381" spans="12:12" x14ac:dyDescent="0.3">
      <c r="L6381" s="14"/>
    </row>
    <row r="6382" spans="12:12" x14ac:dyDescent="0.3">
      <c r="L6382" s="14"/>
    </row>
    <row r="6383" spans="12:12" x14ac:dyDescent="0.3">
      <c r="L6383" s="14"/>
    </row>
    <row r="6384" spans="12:12" x14ac:dyDescent="0.3">
      <c r="L6384" s="14"/>
    </row>
    <row r="6385" spans="12:12" x14ac:dyDescent="0.3">
      <c r="L6385" s="14"/>
    </row>
    <row r="6386" spans="12:12" x14ac:dyDescent="0.3">
      <c r="L6386" s="14"/>
    </row>
    <row r="6387" spans="12:12" x14ac:dyDescent="0.3">
      <c r="L6387" s="14"/>
    </row>
    <row r="6388" spans="12:12" x14ac:dyDescent="0.3">
      <c r="L6388" s="14"/>
    </row>
    <row r="6389" spans="12:12" x14ac:dyDescent="0.3">
      <c r="L6389" s="14"/>
    </row>
    <row r="6390" spans="12:12" x14ac:dyDescent="0.3">
      <c r="L6390" s="14"/>
    </row>
    <row r="6391" spans="12:12" x14ac:dyDescent="0.3">
      <c r="L6391" s="14"/>
    </row>
    <row r="6392" spans="12:12" x14ac:dyDescent="0.3">
      <c r="L6392" s="14"/>
    </row>
    <row r="6393" spans="12:12" x14ac:dyDescent="0.3">
      <c r="L6393" s="14"/>
    </row>
    <row r="6394" spans="12:12" x14ac:dyDescent="0.3">
      <c r="L6394" s="14"/>
    </row>
    <row r="6395" spans="12:12" x14ac:dyDescent="0.3">
      <c r="L6395" s="14"/>
    </row>
    <row r="6396" spans="12:12" x14ac:dyDescent="0.3">
      <c r="L6396" s="14"/>
    </row>
    <row r="6397" spans="12:12" x14ac:dyDescent="0.3">
      <c r="L6397" s="14"/>
    </row>
    <row r="6398" spans="12:12" x14ac:dyDescent="0.3">
      <c r="L6398" s="14"/>
    </row>
    <row r="6399" spans="12:12" x14ac:dyDescent="0.3">
      <c r="L6399" s="14"/>
    </row>
    <row r="6400" spans="12:12" x14ac:dyDescent="0.3">
      <c r="L6400" s="14"/>
    </row>
    <row r="6401" spans="12:12" x14ac:dyDescent="0.3">
      <c r="L6401" s="14"/>
    </row>
    <row r="6402" spans="12:12" x14ac:dyDescent="0.3">
      <c r="L6402" s="14"/>
    </row>
    <row r="6403" spans="12:12" x14ac:dyDescent="0.3">
      <c r="L6403" s="14"/>
    </row>
    <row r="6404" spans="12:12" x14ac:dyDescent="0.3">
      <c r="L6404" s="14"/>
    </row>
    <row r="6405" spans="12:12" x14ac:dyDescent="0.3">
      <c r="L6405" s="14"/>
    </row>
    <row r="6406" spans="12:12" x14ac:dyDescent="0.3">
      <c r="L6406" s="14"/>
    </row>
    <row r="6407" spans="12:12" x14ac:dyDescent="0.3">
      <c r="L6407" s="14"/>
    </row>
    <row r="6408" spans="12:12" x14ac:dyDescent="0.3">
      <c r="L6408" s="14"/>
    </row>
    <row r="6409" spans="12:12" x14ac:dyDescent="0.3">
      <c r="L6409" s="14"/>
    </row>
    <row r="6410" spans="12:12" x14ac:dyDescent="0.3">
      <c r="L6410" s="14"/>
    </row>
    <row r="6411" spans="12:12" x14ac:dyDescent="0.3">
      <c r="L6411" s="14"/>
    </row>
    <row r="6412" spans="12:12" x14ac:dyDescent="0.3">
      <c r="L6412" s="14"/>
    </row>
    <row r="6413" spans="12:12" x14ac:dyDescent="0.3">
      <c r="L6413" s="14"/>
    </row>
    <row r="6414" spans="12:12" x14ac:dyDescent="0.3">
      <c r="L6414" s="14"/>
    </row>
    <row r="6415" spans="12:12" x14ac:dyDescent="0.3">
      <c r="L6415" s="14"/>
    </row>
    <row r="6416" spans="12:12" x14ac:dyDescent="0.3">
      <c r="L6416" s="14"/>
    </row>
    <row r="6417" spans="12:12" x14ac:dyDescent="0.3">
      <c r="L6417" s="14"/>
    </row>
    <row r="6418" spans="12:12" x14ac:dyDescent="0.3">
      <c r="L6418" s="14"/>
    </row>
    <row r="6419" spans="12:12" x14ac:dyDescent="0.3">
      <c r="L6419" s="14"/>
    </row>
    <row r="6420" spans="12:12" x14ac:dyDescent="0.3">
      <c r="L6420" s="14"/>
    </row>
    <row r="6421" spans="12:12" x14ac:dyDescent="0.3">
      <c r="L6421" s="14"/>
    </row>
    <row r="6422" spans="12:12" x14ac:dyDescent="0.3">
      <c r="L6422" s="14"/>
    </row>
    <row r="6423" spans="12:12" x14ac:dyDescent="0.3">
      <c r="L6423" s="14"/>
    </row>
    <row r="6424" spans="12:12" x14ac:dyDescent="0.3">
      <c r="L6424" s="14"/>
    </row>
    <row r="6425" spans="12:12" x14ac:dyDescent="0.3">
      <c r="L6425" s="14"/>
    </row>
    <row r="6426" spans="12:12" x14ac:dyDescent="0.3">
      <c r="L6426" s="14"/>
    </row>
    <row r="6427" spans="12:12" x14ac:dyDescent="0.3">
      <c r="L6427" s="14"/>
    </row>
    <row r="6428" spans="12:12" x14ac:dyDescent="0.3">
      <c r="L6428" s="14"/>
    </row>
    <row r="6429" spans="12:12" x14ac:dyDescent="0.3">
      <c r="L6429" s="14"/>
    </row>
    <row r="6430" spans="12:12" x14ac:dyDescent="0.3">
      <c r="L6430" s="14"/>
    </row>
    <row r="6431" spans="12:12" x14ac:dyDescent="0.3">
      <c r="L6431" s="14"/>
    </row>
    <row r="6432" spans="12:12" x14ac:dyDescent="0.3">
      <c r="L6432" s="14"/>
    </row>
    <row r="6433" spans="12:12" x14ac:dyDescent="0.3">
      <c r="L6433" s="14"/>
    </row>
    <row r="6434" spans="12:12" x14ac:dyDescent="0.3">
      <c r="L6434" s="14"/>
    </row>
    <row r="6435" spans="12:12" x14ac:dyDescent="0.3">
      <c r="L6435" s="14"/>
    </row>
    <row r="6436" spans="12:12" x14ac:dyDescent="0.3">
      <c r="L6436" s="14"/>
    </row>
    <row r="6437" spans="12:12" x14ac:dyDescent="0.3">
      <c r="L6437" s="14"/>
    </row>
    <row r="6438" spans="12:12" x14ac:dyDescent="0.3">
      <c r="L6438" s="14"/>
    </row>
    <row r="6439" spans="12:12" x14ac:dyDescent="0.3">
      <c r="L6439" s="14"/>
    </row>
    <row r="6440" spans="12:12" x14ac:dyDescent="0.3">
      <c r="L6440" s="14"/>
    </row>
    <row r="6441" spans="12:12" x14ac:dyDescent="0.3">
      <c r="L6441" s="14"/>
    </row>
    <row r="6442" spans="12:12" x14ac:dyDescent="0.3">
      <c r="L6442" s="14"/>
    </row>
    <row r="6443" spans="12:12" x14ac:dyDescent="0.3">
      <c r="L6443" s="14"/>
    </row>
    <row r="6444" spans="12:12" x14ac:dyDescent="0.3">
      <c r="L6444" s="14"/>
    </row>
    <row r="6445" spans="12:12" x14ac:dyDescent="0.3">
      <c r="L6445" s="14"/>
    </row>
    <row r="6446" spans="12:12" x14ac:dyDescent="0.3">
      <c r="L6446" s="14"/>
    </row>
    <row r="6447" spans="12:12" x14ac:dyDescent="0.3">
      <c r="L6447" s="14"/>
    </row>
    <row r="6448" spans="12:12" x14ac:dyDescent="0.3">
      <c r="L6448" s="14"/>
    </row>
    <row r="6449" spans="12:12" x14ac:dyDescent="0.3">
      <c r="L6449" s="14"/>
    </row>
    <row r="6450" spans="12:12" x14ac:dyDescent="0.3">
      <c r="L6450" s="14"/>
    </row>
    <row r="6451" spans="12:12" x14ac:dyDescent="0.3">
      <c r="L6451" s="14"/>
    </row>
    <row r="6452" spans="12:12" x14ac:dyDescent="0.3">
      <c r="L6452" s="14"/>
    </row>
    <row r="6453" spans="12:12" x14ac:dyDescent="0.3">
      <c r="L6453" s="14"/>
    </row>
    <row r="6454" spans="12:12" x14ac:dyDescent="0.3">
      <c r="L6454" s="14"/>
    </row>
    <row r="6455" spans="12:12" x14ac:dyDescent="0.3">
      <c r="L6455" s="14"/>
    </row>
    <row r="6456" spans="12:12" x14ac:dyDescent="0.3">
      <c r="L6456" s="14"/>
    </row>
    <row r="6457" spans="12:12" x14ac:dyDescent="0.3">
      <c r="L6457" s="14"/>
    </row>
    <row r="6458" spans="12:12" x14ac:dyDescent="0.3">
      <c r="L6458" s="14"/>
    </row>
    <row r="6459" spans="12:12" x14ac:dyDescent="0.3">
      <c r="L6459" s="14"/>
    </row>
    <row r="6460" spans="12:12" x14ac:dyDescent="0.3">
      <c r="L6460" s="14"/>
    </row>
    <row r="6461" spans="12:12" x14ac:dyDescent="0.3">
      <c r="L6461" s="14"/>
    </row>
    <row r="6462" spans="12:12" x14ac:dyDescent="0.3">
      <c r="L6462" s="14"/>
    </row>
    <row r="6463" spans="12:12" x14ac:dyDescent="0.3">
      <c r="L6463" s="14"/>
    </row>
    <row r="6464" spans="12:12" x14ac:dyDescent="0.3">
      <c r="L6464" s="14"/>
    </row>
    <row r="6465" spans="12:12" x14ac:dyDescent="0.3">
      <c r="L6465" s="14"/>
    </row>
    <row r="6466" spans="12:12" x14ac:dyDescent="0.3">
      <c r="L6466" s="14"/>
    </row>
    <row r="6467" spans="12:12" x14ac:dyDescent="0.3">
      <c r="L6467" s="14"/>
    </row>
    <row r="6468" spans="12:12" x14ac:dyDescent="0.3">
      <c r="L6468" s="14"/>
    </row>
    <row r="6469" spans="12:12" x14ac:dyDescent="0.3">
      <c r="L6469" s="14"/>
    </row>
    <row r="6470" spans="12:12" x14ac:dyDescent="0.3">
      <c r="L6470" s="14"/>
    </row>
    <row r="6471" spans="12:12" x14ac:dyDescent="0.3">
      <c r="L6471" s="14"/>
    </row>
    <row r="6472" spans="12:12" x14ac:dyDescent="0.3">
      <c r="L6472" s="14"/>
    </row>
    <row r="6473" spans="12:12" x14ac:dyDescent="0.3">
      <c r="L6473" s="14"/>
    </row>
    <row r="6474" spans="12:12" x14ac:dyDescent="0.3">
      <c r="L6474" s="14"/>
    </row>
    <row r="6475" spans="12:12" x14ac:dyDescent="0.3">
      <c r="L6475" s="14"/>
    </row>
    <row r="6476" spans="12:12" x14ac:dyDescent="0.3">
      <c r="L6476" s="14"/>
    </row>
    <row r="6477" spans="12:12" x14ac:dyDescent="0.3">
      <c r="L6477" s="14"/>
    </row>
    <row r="6478" spans="12:12" x14ac:dyDescent="0.3">
      <c r="L6478" s="14"/>
    </row>
    <row r="6479" spans="12:12" x14ac:dyDescent="0.3">
      <c r="L6479" s="14"/>
    </row>
    <row r="6480" spans="12:12" x14ac:dyDescent="0.3">
      <c r="L6480" s="14"/>
    </row>
    <row r="6481" spans="12:12" x14ac:dyDescent="0.3">
      <c r="L6481" s="14"/>
    </row>
    <row r="6482" spans="12:12" x14ac:dyDescent="0.3">
      <c r="L6482" s="14"/>
    </row>
    <row r="6483" spans="12:12" x14ac:dyDescent="0.3">
      <c r="L6483" s="14"/>
    </row>
    <row r="6484" spans="12:12" x14ac:dyDescent="0.3">
      <c r="L6484" s="14"/>
    </row>
    <row r="6485" spans="12:12" x14ac:dyDescent="0.3">
      <c r="L6485" s="14"/>
    </row>
    <row r="6486" spans="12:12" x14ac:dyDescent="0.3">
      <c r="L6486" s="14"/>
    </row>
    <row r="6487" spans="12:12" x14ac:dyDescent="0.3">
      <c r="L6487" s="14"/>
    </row>
    <row r="6488" spans="12:12" x14ac:dyDescent="0.3">
      <c r="L6488" s="14"/>
    </row>
    <row r="6489" spans="12:12" x14ac:dyDescent="0.3">
      <c r="L6489" s="14"/>
    </row>
    <row r="6490" spans="12:12" x14ac:dyDescent="0.3">
      <c r="L6490" s="14"/>
    </row>
    <row r="6491" spans="12:12" x14ac:dyDescent="0.3">
      <c r="L6491" s="14"/>
    </row>
    <row r="6492" spans="12:12" x14ac:dyDescent="0.3">
      <c r="L6492" s="14"/>
    </row>
    <row r="6493" spans="12:12" x14ac:dyDescent="0.3">
      <c r="L6493" s="14"/>
    </row>
    <row r="6494" spans="12:12" x14ac:dyDescent="0.3">
      <c r="L6494" s="14"/>
    </row>
    <row r="6495" spans="12:12" x14ac:dyDescent="0.3">
      <c r="L6495" s="14"/>
    </row>
    <row r="6496" spans="12:12" x14ac:dyDescent="0.3">
      <c r="L6496" s="14"/>
    </row>
    <row r="6497" spans="12:12" x14ac:dyDescent="0.3">
      <c r="L6497" s="14"/>
    </row>
    <row r="6498" spans="12:12" x14ac:dyDescent="0.3">
      <c r="L6498" s="14"/>
    </row>
    <row r="6499" spans="12:12" x14ac:dyDescent="0.3">
      <c r="L6499" s="14"/>
    </row>
    <row r="6500" spans="12:12" x14ac:dyDescent="0.3">
      <c r="L6500" s="14"/>
    </row>
    <row r="6501" spans="12:12" x14ac:dyDescent="0.3">
      <c r="L6501" s="14"/>
    </row>
    <row r="6502" spans="12:12" x14ac:dyDescent="0.3">
      <c r="L6502" s="14"/>
    </row>
    <row r="6503" spans="12:12" x14ac:dyDescent="0.3">
      <c r="L6503" s="14"/>
    </row>
    <row r="6504" spans="12:12" x14ac:dyDescent="0.3">
      <c r="L6504" s="14"/>
    </row>
    <row r="6505" spans="12:12" x14ac:dyDescent="0.3">
      <c r="L6505" s="14"/>
    </row>
    <row r="6506" spans="12:12" x14ac:dyDescent="0.3">
      <c r="L6506" s="14"/>
    </row>
    <row r="6507" spans="12:12" x14ac:dyDescent="0.3">
      <c r="L6507" s="14"/>
    </row>
    <row r="6508" spans="12:12" x14ac:dyDescent="0.3">
      <c r="L6508" s="14"/>
    </row>
    <row r="6509" spans="12:12" x14ac:dyDescent="0.3">
      <c r="L6509" s="14"/>
    </row>
    <row r="6510" spans="12:12" x14ac:dyDescent="0.3">
      <c r="L6510" s="14"/>
    </row>
    <row r="6511" spans="12:12" x14ac:dyDescent="0.3">
      <c r="L6511" s="14"/>
    </row>
    <row r="6512" spans="12:12" x14ac:dyDescent="0.3">
      <c r="L6512" s="14"/>
    </row>
    <row r="6513" spans="12:12" x14ac:dyDescent="0.3">
      <c r="L6513" s="14"/>
    </row>
    <row r="6514" spans="12:12" x14ac:dyDescent="0.3">
      <c r="L6514" s="14"/>
    </row>
    <row r="6515" spans="12:12" x14ac:dyDescent="0.3">
      <c r="L6515" s="14"/>
    </row>
    <row r="6516" spans="12:12" x14ac:dyDescent="0.3">
      <c r="L6516" s="14"/>
    </row>
    <row r="6517" spans="12:12" x14ac:dyDescent="0.3">
      <c r="L6517" s="14"/>
    </row>
    <row r="6518" spans="12:12" x14ac:dyDescent="0.3">
      <c r="L6518" s="14"/>
    </row>
    <row r="6519" spans="12:12" x14ac:dyDescent="0.3">
      <c r="L6519" s="14"/>
    </row>
    <row r="6520" spans="12:12" x14ac:dyDescent="0.3">
      <c r="L6520" s="14"/>
    </row>
    <row r="6521" spans="12:12" x14ac:dyDescent="0.3">
      <c r="L6521" s="14"/>
    </row>
    <row r="6522" spans="12:12" x14ac:dyDescent="0.3">
      <c r="L6522" s="14"/>
    </row>
    <row r="6523" spans="12:12" x14ac:dyDescent="0.3">
      <c r="L6523" s="14"/>
    </row>
    <row r="6524" spans="12:12" x14ac:dyDescent="0.3">
      <c r="L6524" s="14"/>
    </row>
    <row r="6525" spans="12:12" x14ac:dyDescent="0.3">
      <c r="L6525" s="14"/>
    </row>
    <row r="6526" spans="12:12" x14ac:dyDescent="0.3">
      <c r="L6526" s="14"/>
    </row>
    <row r="6527" spans="12:12" x14ac:dyDescent="0.3">
      <c r="L6527" s="14"/>
    </row>
    <row r="6528" spans="12:12" x14ac:dyDescent="0.3">
      <c r="L6528" s="14"/>
    </row>
    <row r="6529" spans="12:12" x14ac:dyDescent="0.3">
      <c r="L6529" s="14"/>
    </row>
    <row r="6530" spans="12:12" x14ac:dyDescent="0.3">
      <c r="L6530" s="14"/>
    </row>
    <row r="6531" spans="12:12" x14ac:dyDescent="0.3">
      <c r="L6531" s="14"/>
    </row>
    <row r="6532" spans="12:12" x14ac:dyDescent="0.3">
      <c r="L6532" s="14"/>
    </row>
    <row r="6533" spans="12:12" x14ac:dyDescent="0.3">
      <c r="L6533" s="14"/>
    </row>
    <row r="6534" spans="12:12" x14ac:dyDescent="0.3">
      <c r="L6534" s="14"/>
    </row>
    <row r="6535" spans="12:12" x14ac:dyDescent="0.3">
      <c r="L6535" s="14"/>
    </row>
    <row r="6536" spans="12:12" x14ac:dyDescent="0.3">
      <c r="L6536" s="14"/>
    </row>
    <row r="6537" spans="12:12" x14ac:dyDescent="0.3">
      <c r="L6537" s="14"/>
    </row>
    <row r="6538" spans="12:12" x14ac:dyDescent="0.3">
      <c r="L6538" s="14"/>
    </row>
    <row r="6539" spans="12:12" x14ac:dyDescent="0.3">
      <c r="L6539" s="14"/>
    </row>
    <row r="6540" spans="12:12" x14ac:dyDescent="0.3">
      <c r="L6540" s="14"/>
    </row>
    <row r="6541" spans="12:12" x14ac:dyDescent="0.3">
      <c r="L6541" s="14"/>
    </row>
    <row r="6542" spans="12:12" x14ac:dyDescent="0.3">
      <c r="L6542" s="14"/>
    </row>
    <row r="6543" spans="12:12" x14ac:dyDescent="0.3">
      <c r="L6543" s="14"/>
    </row>
    <row r="6544" spans="12:12" x14ac:dyDescent="0.3">
      <c r="L6544" s="14"/>
    </row>
    <row r="6545" spans="12:12" x14ac:dyDescent="0.3">
      <c r="L6545" s="14"/>
    </row>
    <row r="6546" spans="12:12" x14ac:dyDescent="0.3">
      <c r="L6546" s="14"/>
    </row>
    <row r="6547" spans="12:12" x14ac:dyDescent="0.3">
      <c r="L6547" s="14"/>
    </row>
    <row r="6548" spans="12:12" x14ac:dyDescent="0.3">
      <c r="L6548" s="14"/>
    </row>
    <row r="6549" spans="12:12" x14ac:dyDescent="0.3">
      <c r="L6549" s="14"/>
    </row>
    <row r="6550" spans="12:12" x14ac:dyDescent="0.3">
      <c r="L6550" s="14"/>
    </row>
    <row r="6551" spans="12:12" x14ac:dyDescent="0.3">
      <c r="L6551" s="14"/>
    </row>
    <row r="6552" spans="12:12" x14ac:dyDescent="0.3">
      <c r="L6552" s="14"/>
    </row>
    <row r="6553" spans="12:12" x14ac:dyDescent="0.3">
      <c r="L6553" s="14"/>
    </row>
    <row r="6554" spans="12:12" x14ac:dyDescent="0.3">
      <c r="L6554" s="14"/>
    </row>
    <row r="6555" spans="12:12" x14ac:dyDescent="0.3">
      <c r="L6555" s="14"/>
    </row>
    <row r="6556" spans="12:12" x14ac:dyDescent="0.3">
      <c r="L6556" s="14"/>
    </row>
    <row r="6557" spans="12:12" x14ac:dyDescent="0.3">
      <c r="L6557" s="14"/>
    </row>
    <row r="6558" spans="12:12" x14ac:dyDescent="0.3">
      <c r="L6558" s="14"/>
    </row>
    <row r="6559" spans="12:12" x14ac:dyDescent="0.3">
      <c r="L6559" s="14"/>
    </row>
    <row r="6560" spans="12:12" x14ac:dyDescent="0.3">
      <c r="L6560" s="14"/>
    </row>
    <row r="6561" spans="12:12" x14ac:dyDescent="0.3">
      <c r="L6561" s="14"/>
    </row>
    <row r="6562" spans="12:12" x14ac:dyDescent="0.3">
      <c r="L6562" s="14"/>
    </row>
    <row r="6563" spans="12:12" x14ac:dyDescent="0.3">
      <c r="L6563" s="14"/>
    </row>
    <row r="6564" spans="12:12" x14ac:dyDescent="0.3">
      <c r="L6564" s="14"/>
    </row>
    <row r="6565" spans="12:12" x14ac:dyDescent="0.3">
      <c r="L6565" s="14"/>
    </row>
    <row r="6566" spans="12:12" x14ac:dyDescent="0.3">
      <c r="L6566" s="14"/>
    </row>
    <row r="6567" spans="12:12" x14ac:dyDescent="0.3">
      <c r="L6567" s="14"/>
    </row>
    <row r="6568" spans="12:12" x14ac:dyDescent="0.3">
      <c r="L6568" s="14"/>
    </row>
    <row r="6569" spans="12:12" x14ac:dyDescent="0.3">
      <c r="L6569" s="14"/>
    </row>
    <row r="6570" spans="12:12" x14ac:dyDescent="0.3">
      <c r="L6570" s="14"/>
    </row>
    <row r="6571" spans="12:12" x14ac:dyDescent="0.3">
      <c r="L6571" s="14"/>
    </row>
    <row r="6572" spans="12:12" x14ac:dyDescent="0.3">
      <c r="L6572" s="14"/>
    </row>
    <row r="6573" spans="12:12" x14ac:dyDescent="0.3">
      <c r="L6573" s="14"/>
    </row>
    <row r="6574" spans="12:12" x14ac:dyDescent="0.3">
      <c r="L6574" s="14"/>
    </row>
    <row r="6575" spans="12:12" x14ac:dyDescent="0.3">
      <c r="L6575" s="14"/>
    </row>
    <row r="6576" spans="12:12" x14ac:dyDescent="0.3">
      <c r="L6576" s="14"/>
    </row>
    <row r="6577" spans="12:12" x14ac:dyDescent="0.3">
      <c r="L6577" s="14"/>
    </row>
    <row r="6578" spans="12:12" x14ac:dyDescent="0.3">
      <c r="L6578" s="14"/>
    </row>
    <row r="6579" spans="12:12" x14ac:dyDescent="0.3">
      <c r="L6579" s="14"/>
    </row>
    <row r="6580" spans="12:12" x14ac:dyDescent="0.3">
      <c r="L6580" s="14"/>
    </row>
    <row r="6581" spans="12:12" x14ac:dyDescent="0.3">
      <c r="L6581" s="14"/>
    </row>
    <row r="6582" spans="12:12" x14ac:dyDescent="0.3">
      <c r="L6582" s="14"/>
    </row>
    <row r="6583" spans="12:12" x14ac:dyDescent="0.3">
      <c r="L6583" s="14"/>
    </row>
    <row r="6584" spans="12:12" x14ac:dyDescent="0.3">
      <c r="L6584" s="14"/>
    </row>
    <row r="6585" spans="12:12" x14ac:dyDescent="0.3">
      <c r="L6585" s="14"/>
    </row>
    <row r="6586" spans="12:12" x14ac:dyDescent="0.3">
      <c r="L6586" s="14"/>
    </row>
    <row r="6587" spans="12:12" x14ac:dyDescent="0.3">
      <c r="L6587" s="14"/>
    </row>
    <row r="6588" spans="12:12" x14ac:dyDescent="0.3">
      <c r="L6588" s="14"/>
    </row>
    <row r="6589" spans="12:12" x14ac:dyDescent="0.3">
      <c r="L6589" s="14"/>
    </row>
    <row r="6590" spans="12:12" x14ac:dyDescent="0.3">
      <c r="L6590" s="14"/>
    </row>
    <row r="6591" spans="12:12" x14ac:dyDescent="0.3">
      <c r="L6591" s="14"/>
    </row>
    <row r="6592" spans="12:12" x14ac:dyDescent="0.3">
      <c r="L6592" s="14"/>
    </row>
    <row r="6593" spans="12:12" x14ac:dyDescent="0.3">
      <c r="L6593" s="14"/>
    </row>
    <row r="6594" spans="12:12" x14ac:dyDescent="0.3">
      <c r="L6594" s="14"/>
    </row>
    <row r="6595" spans="12:12" x14ac:dyDescent="0.3">
      <c r="L6595" s="14"/>
    </row>
    <row r="6596" spans="12:12" x14ac:dyDescent="0.3">
      <c r="L6596" s="14"/>
    </row>
    <row r="6597" spans="12:12" x14ac:dyDescent="0.3">
      <c r="L6597" s="14"/>
    </row>
    <row r="6598" spans="12:12" x14ac:dyDescent="0.3">
      <c r="L6598" s="14"/>
    </row>
    <row r="6599" spans="12:12" x14ac:dyDescent="0.3">
      <c r="L6599" s="14"/>
    </row>
    <row r="6600" spans="12:12" x14ac:dyDescent="0.3">
      <c r="L6600" s="14"/>
    </row>
    <row r="6601" spans="12:12" x14ac:dyDescent="0.3">
      <c r="L6601" s="14"/>
    </row>
    <row r="6602" spans="12:12" x14ac:dyDescent="0.3">
      <c r="L6602" s="14"/>
    </row>
    <row r="6603" spans="12:12" x14ac:dyDescent="0.3">
      <c r="L6603" s="14"/>
    </row>
    <row r="6604" spans="12:12" x14ac:dyDescent="0.3">
      <c r="L6604" s="14"/>
    </row>
    <row r="6605" spans="12:12" x14ac:dyDescent="0.3">
      <c r="L6605" s="14"/>
    </row>
    <row r="6606" spans="12:12" x14ac:dyDescent="0.3">
      <c r="L6606" s="14"/>
    </row>
    <row r="6607" spans="12:12" x14ac:dyDescent="0.3">
      <c r="L6607" s="14"/>
    </row>
    <row r="6608" spans="12:12" x14ac:dyDescent="0.3">
      <c r="L6608" s="14"/>
    </row>
    <row r="6609" spans="12:12" x14ac:dyDescent="0.3">
      <c r="L6609" s="14"/>
    </row>
    <row r="6610" spans="12:12" x14ac:dyDescent="0.3">
      <c r="L6610" s="14"/>
    </row>
    <row r="6611" spans="12:12" x14ac:dyDescent="0.3">
      <c r="L6611" s="14"/>
    </row>
    <row r="6612" spans="12:12" x14ac:dyDescent="0.3">
      <c r="L6612" s="14"/>
    </row>
    <row r="6613" spans="12:12" x14ac:dyDescent="0.3">
      <c r="L6613" s="14"/>
    </row>
    <row r="6614" spans="12:12" x14ac:dyDescent="0.3">
      <c r="L6614" s="14"/>
    </row>
    <row r="6615" spans="12:12" x14ac:dyDescent="0.3">
      <c r="L6615" s="14"/>
    </row>
    <row r="6616" spans="12:12" x14ac:dyDescent="0.3">
      <c r="L6616" s="14"/>
    </row>
    <row r="6617" spans="12:12" x14ac:dyDescent="0.3">
      <c r="L6617" s="14"/>
    </row>
    <row r="6618" spans="12:12" x14ac:dyDescent="0.3">
      <c r="L6618" s="14"/>
    </row>
    <row r="6619" spans="12:12" x14ac:dyDescent="0.3">
      <c r="L6619" s="14"/>
    </row>
    <row r="6620" spans="12:12" x14ac:dyDescent="0.3">
      <c r="L6620" s="14"/>
    </row>
    <row r="6621" spans="12:12" x14ac:dyDescent="0.3">
      <c r="L6621" s="14"/>
    </row>
    <row r="6622" spans="12:12" x14ac:dyDescent="0.3">
      <c r="L6622" s="14"/>
    </row>
    <row r="6623" spans="12:12" x14ac:dyDescent="0.3">
      <c r="L6623" s="14"/>
    </row>
    <row r="6624" spans="12:12" x14ac:dyDescent="0.3">
      <c r="L6624" s="14"/>
    </row>
    <row r="6625" spans="12:12" x14ac:dyDescent="0.3">
      <c r="L6625" s="14"/>
    </row>
    <row r="6626" spans="12:12" x14ac:dyDescent="0.3">
      <c r="L6626" s="14"/>
    </row>
    <row r="6627" spans="12:12" x14ac:dyDescent="0.3">
      <c r="L6627" s="14"/>
    </row>
    <row r="6628" spans="12:12" x14ac:dyDescent="0.3">
      <c r="L6628" s="14"/>
    </row>
    <row r="6629" spans="12:12" x14ac:dyDescent="0.3">
      <c r="L6629" s="14"/>
    </row>
    <row r="6630" spans="12:12" x14ac:dyDescent="0.3">
      <c r="L6630" s="14"/>
    </row>
    <row r="6631" spans="12:12" x14ac:dyDescent="0.3">
      <c r="L6631" s="14"/>
    </row>
    <row r="6632" spans="12:12" x14ac:dyDescent="0.3">
      <c r="L6632" s="14"/>
    </row>
    <row r="6633" spans="12:12" x14ac:dyDescent="0.3">
      <c r="L6633" s="14"/>
    </row>
    <row r="6634" spans="12:12" x14ac:dyDescent="0.3">
      <c r="L6634" s="14"/>
    </row>
    <row r="6635" spans="12:12" x14ac:dyDescent="0.3">
      <c r="L6635" s="14"/>
    </row>
    <row r="6636" spans="12:12" x14ac:dyDescent="0.3">
      <c r="L6636" s="14"/>
    </row>
    <row r="6637" spans="12:12" x14ac:dyDescent="0.3">
      <c r="L6637" s="14"/>
    </row>
    <row r="6638" spans="12:12" x14ac:dyDescent="0.3">
      <c r="L6638" s="14"/>
    </row>
    <row r="6639" spans="12:12" x14ac:dyDescent="0.3">
      <c r="L6639" s="14"/>
    </row>
    <row r="6640" spans="12:12" x14ac:dyDescent="0.3">
      <c r="L6640" s="14"/>
    </row>
    <row r="6641" spans="12:12" x14ac:dyDescent="0.3">
      <c r="L6641" s="14"/>
    </row>
    <row r="6642" spans="12:12" x14ac:dyDescent="0.3">
      <c r="L6642" s="14"/>
    </row>
    <row r="6643" spans="12:12" x14ac:dyDescent="0.3">
      <c r="L6643" s="14"/>
    </row>
    <row r="6644" spans="12:12" x14ac:dyDescent="0.3">
      <c r="L6644" s="14"/>
    </row>
    <row r="6645" spans="12:12" x14ac:dyDescent="0.3">
      <c r="L6645" s="14"/>
    </row>
    <row r="6646" spans="12:12" x14ac:dyDescent="0.3">
      <c r="L6646" s="14"/>
    </row>
    <row r="6647" spans="12:12" x14ac:dyDescent="0.3">
      <c r="L6647" s="14"/>
    </row>
    <row r="6648" spans="12:12" x14ac:dyDescent="0.3">
      <c r="L6648" s="14"/>
    </row>
    <row r="6649" spans="12:12" x14ac:dyDescent="0.3">
      <c r="L6649" s="14"/>
    </row>
    <row r="6650" spans="12:12" x14ac:dyDescent="0.3">
      <c r="L6650" s="14"/>
    </row>
    <row r="6651" spans="12:12" x14ac:dyDescent="0.3">
      <c r="L6651" s="14"/>
    </row>
    <row r="6652" spans="12:12" x14ac:dyDescent="0.3">
      <c r="L6652" s="14"/>
    </row>
    <row r="6653" spans="12:12" x14ac:dyDescent="0.3">
      <c r="L6653" s="14"/>
    </row>
    <row r="6654" spans="12:12" x14ac:dyDescent="0.3">
      <c r="L6654" s="14"/>
    </row>
    <row r="6655" spans="12:12" x14ac:dyDescent="0.3">
      <c r="L6655" s="14"/>
    </row>
    <row r="6656" spans="12:12" x14ac:dyDescent="0.3">
      <c r="L6656" s="14"/>
    </row>
    <row r="6657" spans="12:12" x14ac:dyDescent="0.3">
      <c r="L6657" s="14"/>
    </row>
    <row r="6658" spans="12:12" x14ac:dyDescent="0.3">
      <c r="L6658" s="14"/>
    </row>
    <row r="6659" spans="12:12" x14ac:dyDescent="0.3">
      <c r="L6659" s="14"/>
    </row>
    <row r="6660" spans="12:12" x14ac:dyDescent="0.3">
      <c r="L6660" s="14"/>
    </row>
    <row r="6661" spans="12:12" x14ac:dyDescent="0.3">
      <c r="L6661" s="14"/>
    </row>
    <row r="6662" spans="12:12" x14ac:dyDescent="0.3">
      <c r="L6662" s="14"/>
    </row>
    <row r="6663" spans="12:12" x14ac:dyDescent="0.3">
      <c r="L6663" s="14"/>
    </row>
    <row r="6664" spans="12:12" x14ac:dyDescent="0.3">
      <c r="L6664" s="14"/>
    </row>
    <row r="6665" spans="12:12" x14ac:dyDescent="0.3">
      <c r="L6665" s="14"/>
    </row>
    <row r="6666" spans="12:12" x14ac:dyDescent="0.3">
      <c r="L6666" s="14"/>
    </row>
    <row r="6667" spans="12:12" x14ac:dyDescent="0.3">
      <c r="L6667" s="14"/>
    </row>
    <row r="6668" spans="12:12" x14ac:dyDescent="0.3">
      <c r="L6668" s="14"/>
    </row>
    <row r="6669" spans="12:12" x14ac:dyDescent="0.3">
      <c r="L6669" s="14"/>
    </row>
    <row r="6670" spans="12:12" x14ac:dyDescent="0.3">
      <c r="L6670" s="14"/>
    </row>
    <row r="6671" spans="12:12" x14ac:dyDescent="0.3">
      <c r="L6671" s="14"/>
    </row>
    <row r="6672" spans="12:12" x14ac:dyDescent="0.3">
      <c r="L6672" s="14"/>
    </row>
    <row r="6673" spans="12:12" x14ac:dyDescent="0.3">
      <c r="L6673" s="14"/>
    </row>
    <row r="6674" spans="12:12" x14ac:dyDescent="0.3">
      <c r="L6674" s="14"/>
    </row>
    <row r="6675" spans="12:12" x14ac:dyDescent="0.3">
      <c r="L6675" s="14"/>
    </row>
    <row r="6676" spans="12:12" x14ac:dyDescent="0.3">
      <c r="L6676" s="14"/>
    </row>
    <row r="6677" spans="12:12" x14ac:dyDescent="0.3">
      <c r="L6677" s="14"/>
    </row>
    <row r="6678" spans="12:12" x14ac:dyDescent="0.3">
      <c r="L6678" s="14"/>
    </row>
    <row r="6679" spans="12:12" x14ac:dyDescent="0.3">
      <c r="L6679" s="14"/>
    </row>
    <row r="6680" spans="12:12" x14ac:dyDescent="0.3">
      <c r="L6680" s="14"/>
    </row>
    <row r="6681" spans="12:12" x14ac:dyDescent="0.3">
      <c r="L6681" s="14"/>
    </row>
    <row r="6682" spans="12:12" x14ac:dyDescent="0.3">
      <c r="L6682" s="14"/>
    </row>
    <row r="6683" spans="12:12" x14ac:dyDescent="0.3">
      <c r="L6683" s="14"/>
    </row>
    <row r="6684" spans="12:12" x14ac:dyDescent="0.3">
      <c r="L6684" s="14"/>
    </row>
    <row r="6685" spans="12:12" x14ac:dyDescent="0.3">
      <c r="L6685" s="14"/>
    </row>
    <row r="6686" spans="12:12" x14ac:dyDescent="0.3">
      <c r="L6686" s="14"/>
    </row>
    <row r="6687" spans="12:12" x14ac:dyDescent="0.3">
      <c r="L6687" s="14"/>
    </row>
    <row r="6688" spans="12:12" x14ac:dyDescent="0.3">
      <c r="L6688" s="14"/>
    </row>
    <row r="6689" spans="12:12" x14ac:dyDescent="0.3">
      <c r="L6689" s="14"/>
    </row>
    <row r="6690" spans="12:12" x14ac:dyDescent="0.3">
      <c r="L6690" s="14"/>
    </row>
    <row r="6691" spans="12:12" x14ac:dyDescent="0.3">
      <c r="L6691" s="14"/>
    </row>
    <row r="6692" spans="12:12" x14ac:dyDescent="0.3">
      <c r="L6692" s="14"/>
    </row>
    <row r="6693" spans="12:12" x14ac:dyDescent="0.3">
      <c r="L6693" s="14"/>
    </row>
    <row r="6694" spans="12:12" x14ac:dyDescent="0.3">
      <c r="L6694" s="14"/>
    </row>
    <row r="6695" spans="12:12" x14ac:dyDescent="0.3">
      <c r="L6695" s="14"/>
    </row>
    <row r="6696" spans="12:12" x14ac:dyDescent="0.3">
      <c r="L6696" s="14"/>
    </row>
    <row r="6697" spans="12:12" x14ac:dyDescent="0.3">
      <c r="L6697" s="14"/>
    </row>
    <row r="6698" spans="12:12" x14ac:dyDescent="0.3">
      <c r="L6698" s="14"/>
    </row>
    <row r="6699" spans="12:12" x14ac:dyDescent="0.3">
      <c r="L6699" s="14"/>
    </row>
    <row r="6700" spans="12:12" x14ac:dyDescent="0.3">
      <c r="L6700" s="14"/>
    </row>
    <row r="6701" spans="12:12" x14ac:dyDescent="0.3">
      <c r="L6701" s="14"/>
    </row>
    <row r="6702" spans="12:12" x14ac:dyDescent="0.3">
      <c r="L6702" s="14"/>
    </row>
    <row r="6703" spans="12:12" x14ac:dyDescent="0.3">
      <c r="L6703" s="14"/>
    </row>
    <row r="6704" spans="12:12" x14ac:dyDescent="0.3">
      <c r="L6704" s="14"/>
    </row>
    <row r="6705" spans="12:12" x14ac:dyDescent="0.3">
      <c r="L6705" s="14"/>
    </row>
    <row r="6706" spans="12:12" x14ac:dyDescent="0.3">
      <c r="L6706" s="14"/>
    </row>
    <row r="6707" spans="12:12" x14ac:dyDescent="0.3">
      <c r="L6707" s="14"/>
    </row>
    <row r="6708" spans="12:12" x14ac:dyDescent="0.3">
      <c r="L6708" s="14"/>
    </row>
    <row r="6709" spans="12:12" x14ac:dyDescent="0.3">
      <c r="L6709" s="14"/>
    </row>
    <row r="6710" spans="12:12" x14ac:dyDescent="0.3">
      <c r="L6710" s="14"/>
    </row>
    <row r="6711" spans="12:12" x14ac:dyDescent="0.3">
      <c r="L6711" s="14"/>
    </row>
    <row r="6712" spans="12:12" x14ac:dyDescent="0.3">
      <c r="L6712" s="14"/>
    </row>
    <row r="6713" spans="12:12" x14ac:dyDescent="0.3">
      <c r="L6713" s="14"/>
    </row>
    <row r="6714" spans="12:12" x14ac:dyDescent="0.3">
      <c r="L6714" s="14"/>
    </row>
    <row r="6715" spans="12:12" x14ac:dyDescent="0.3">
      <c r="L6715" s="14"/>
    </row>
    <row r="6716" spans="12:12" x14ac:dyDescent="0.3">
      <c r="L6716" s="14"/>
    </row>
    <row r="6717" spans="12:12" x14ac:dyDescent="0.3">
      <c r="L6717" s="14"/>
    </row>
    <row r="6718" spans="12:12" x14ac:dyDescent="0.3">
      <c r="L6718" s="14"/>
    </row>
    <row r="6719" spans="12:12" x14ac:dyDescent="0.3">
      <c r="L6719" s="14"/>
    </row>
    <row r="6720" spans="12:12" x14ac:dyDescent="0.3">
      <c r="L6720" s="14"/>
    </row>
    <row r="6721" spans="12:12" x14ac:dyDescent="0.3">
      <c r="L6721" s="14"/>
    </row>
    <row r="6722" spans="12:12" x14ac:dyDescent="0.3">
      <c r="L6722" s="14"/>
    </row>
    <row r="6723" spans="12:12" x14ac:dyDescent="0.3">
      <c r="L6723" s="14"/>
    </row>
    <row r="6724" spans="12:12" x14ac:dyDescent="0.3">
      <c r="L6724" s="14"/>
    </row>
    <row r="6725" spans="12:12" x14ac:dyDescent="0.3">
      <c r="L6725" s="14"/>
    </row>
    <row r="6726" spans="12:12" x14ac:dyDescent="0.3">
      <c r="L6726" s="14"/>
    </row>
    <row r="6727" spans="12:12" x14ac:dyDescent="0.3">
      <c r="L6727" s="14"/>
    </row>
    <row r="6728" spans="12:12" x14ac:dyDescent="0.3">
      <c r="L6728" s="14"/>
    </row>
    <row r="6729" spans="12:12" x14ac:dyDescent="0.3">
      <c r="L6729" s="14"/>
    </row>
    <row r="6730" spans="12:12" x14ac:dyDescent="0.3">
      <c r="L6730" s="14"/>
    </row>
    <row r="6731" spans="12:12" x14ac:dyDescent="0.3">
      <c r="L6731" s="14"/>
    </row>
    <row r="6732" spans="12:12" x14ac:dyDescent="0.3">
      <c r="L6732" s="14"/>
    </row>
    <row r="6733" spans="12:12" x14ac:dyDescent="0.3">
      <c r="L6733" s="14"/>
    </row>
    <row r="6734" spans="12:12" x14ac:dyDescent="0.3">
      <c r="L6734" s="14"/>
    </row>
    <row r="6735" spans="12:12" x14ac:dyDescent="0.3">
      <c r="L6735" s="14"/>
    </row>
    <row r="6736" spans="12:12" x14ac:dyDescent="0.3">
      <c r="L6736" s="14"/>
    </row>
    <row r="6737" spans="12:12" x14ac:dyDescent="0.3">
      <c r="L6737" s="14"/>
    </row>
    <row r="6738" spans="12:12" x14ac:dyDescent="0.3">
      <c r="L6738" s="14"/>
    </row>
    <row r="6739" spans="12:12" x14ac:dyDescent="0.3">
      <c r="L6739" s="14"/>
    </row>
    <row r="6740" spans="12:12" x14ac:dyDescent="0.3">
      <c r="L6740" s="14"/>
    </row>
    <row r="6741" spans="12:12" x14ac:dyDescent="0.3">
      <c r="L6741" s="14"/>
    </row>
    <row r="6742" spans="12:12" x14ac:dyDescent="0.3">
      <c r="L6742" s="14"/>
    </row>
    <row r="6743" spans="12:12" x14ac:dyDescent="0.3">
      <c r="L6743" s="14"/>
    </row>
    <row r="6744" spans="12:12" x14ac:dyDescent="0.3">
      <c r="L6744" s="14"/>
    </row>
    <row r="6745" spans="12:12" x14ac:dyDescent="0.3">
      <c r="L6745" s="14"/>
    </row>
    <row r="6746" spans="12:12" x14ac:dyDescent="0.3">
      <c r="L6746" s="14"/>
    </row>
    <row r="6747" spans="12:12" x14ac:dyDescent="0.3">
      <c r="L6747" s="14"/>
    </row>
    <row r="6748" spans="12:12" x14ac:dyDescent="0.3">
      <c r="L6748" s="14"/>
    </row>
    <row r="6749" spans="12:12" x14ac:dyDescent="0.3">
      <c r="L6749" s="14"/>
    </row>
    <row r="6750" spans="12:12" x14ac:dyDescent="0.3">
      <c r="L6750" s="14"/>
    </row>
    <row r="6751" spans="12:12" x14ac:dyDescent="0.3">
      <c r="L6751" s="14"/>
    </row>
    <row r="6752" spans="12:12" x14ac:dyDescent="0.3">
      <c r="L6752" s="14"/>
    </row>
    <row r="6753" spans="12:12" x14ac:dyDescent="0.3">
      <c r="L6753" s="14"/>
    </row>
    <row r="6754" spans="12:12" x14ac:dyDescent="0.3">
      <c r="L6754" s="14"/>
    </row>
    <row r="6755" spans="12:12" x14ac:dyDescent="0.3">
      <c r="L6755" s="14"/>
    </row>
    <row r="6756" spans="12:12" x14ac:dyDescent="0.3">
      <c r="L6756" s="14"/>
    </row>
    <row r="6757" spans="12:12" x14ac:dyDescent="0.3">
      <c r="L6757" s="14"/>
    </row>
    <row r="6758" spans="12:12" x14ac:dyDescent="0.3">
      <c r="L6758" s="14"/>
    </row>
    <row r="6759" spans="12:12" x14ac:dyDescent="0.3">
      <c r="L6759" s="14"/>
    </row>
    <row r="6760" spans="12:12" x14ac:dyDescent="0.3">
      <c r="L6760" s="14"/>
    </row>
    <row r="6761" spans="12:12" x14ac:dyDescent="0.3">
      <c r="L6761" s="14"/>
    </row>
    <row r="6762" spans="12:12" x14ac:dyDescent="0.3">
      <c r="L6762" s="14"/>
    </row>
    <row r="6763" spans="12:12" x14ac:dyDescent="0.3">
      <c r="L6763" s="14"/>
    </row>
    <row r="6764" spans="12:12" x14ac:dyDescent="0.3">
      <c r="L6764" s="14"/>
    </row>
    <row r="6765" spans="12:12" x14ac:dyDescent="0.3">
      <c r="L6765" s="14"/>
    </row>
    <row r="6766" spans="12:12" x14ac:dyDescent="0.3">
      <c r="L6766" s="14"/>
    </row>
    <row r="6767" spans="12:12" x14ac:dyDescent="0.3">
      <c r="L6767" s="14"/>
    </row>
    <row r="6768" spans="12:12" x14ac:dyDescent="0.3">
      <c r="L6768" s="14"/>
    </row>
    <row r="6769" spans="12:12" x14ac:dyDescent="0.3">
      <c r="L6769" s="14"/>
    </row>
    <row r="6770" spans="12:12" x14ac:dyDescent="0.3">
      <c r="L6770" s="14"/>
    </row>
    <row r="6771" spans="12:12" x14ac:dyDescent="0.3">
      <c r="L6771" s="14"/>
    </row>
    <row r="6772" spans="12:12" x14ac:dyDescent="0.3">
      <c r="L6772" s="14"/>
    </row>
    <row r="6773" spans="12:12" x14ac:dyDescent="0.3">
      <c r="L6773" s="14"/>
    </row>
    <row r="6774" spans="12:12" x14ac:dyDescent="0.3">
      <c r="L6774" s="14"/>
    </row>
    <row r="6775" spans="12:12" x14ac:dyDescent="0.3">
      <c r="L6775" s="14"/>
    </row>
    <row r="6776" spans="12:12" x14ac:dyDescent="0.3">
      <c r="L6776" s="14"/>
    </row>
    <row r="6777" spans="12:12" x14ac:dyDescent="0.3">
      <c r="L6777" s="14"/>
    </row>
    <row r="6778" spans="12:12" x14ac:dyDescent="0.3">
      <c r="L6778" s="14"/>
    </row>
    <row r="6779" spans="12:12" x14ac:dyDescent="0.3">
      <c r="L6779" s="14"/>
    </row>
    <row r="6780" spans="12:12" x14ac:dyDescent="0.3">
      <c r="L6780" s="14"/>
    </row>
    <row r="6781" spans="12:12" x14ac:dyDescent="0.3">
      <c r="L6781" s="14"/>
    </row>
    <row r="6782" spans="12:12" x14ac:dyDescent="0.3">
      <c r="L6782" s="14"/>
    </row>
    <row r="6783" spans="12:12" x14ac:dyDescent="0.3">
      <c r="L6783" s="14"/>
    </row>
    <row r="6784" spans="12:12" x14ac:dyDescent="0.3">
      <c r="L6784" s="14"/>
    </row>
    <row r="6785" spans="12:12" x14ac:dyDescent="0.3">
      <c r="L6785" s="14"/>
    </row>
    <row r="6786" spans="12:12" x14ac:dyDescent="0.3">
      <c r="L6786" s="14"/>
    </row>
    <row r="6787" spans="12:12" x14ac:dyDescent="0.3">
      <c r="L6787" s="14"/>
    </row>
    <row r="6788" spans="12:12" x14ac:dyDescent="0.3">
      <c r="L6788" s="14"/>
    </row>
    <row r="6789" spans="12:12" x14ac:dyDescent="0.3">
      <c r="L6789" s="14"/>
    </row>
    <row r="6790" spans="12:12" x14ac:dyDescent="0.3">
      <c r="L6790" s="14"/>
    </row>
    <row r="6791" spans="12:12" x14ac:dyDescent="0.3">
      <c r="L6791" s="14"/>
    </row>
    <row r="6792" spans="12:12" x14ac:dyDescent="0.3">
      <c r="L6792" s="14"/>
    </row>
    <row r="6793" spans="12:12" x14ac:dyDescent="0.3">
      <c r="L6793" s="14"/>
    </row>
    <row r="6794" spans="12:12" x14ac:dyDescent="0.3">
      <c r="L6794" s="14"/>
    </row>
    <row r="6795" spans="12:12" x14ac:dyDescent="0.3">
      <c r="L6795" s="14"/>
    </row>
    <row r="6796" spans="12:12" x14ac:dyDescent="0.3">
      <c r="L6796" s="14"/>
    </row>
    <row r="6797" spans="12:12" x14ac:dyDescent="0.3">
      <c r="L6797" s="14"/>
    </row>
    <row r="6798" spans="12:12" x14ac:dyDescent="0.3">
      <c r="L6798" s="14"/>
    </row>
    <row r="6799" spans="12:12" x14ac:dyDescent="0.3">
      <c r="L6799" s="14"/>
    </row>
    <row r="6800" spans="12:12" x14ac:dyDescent="0.3">
      <c r="L6800" s="14"/>
    </row>
    <row r="6801" spans="12:12" x14ac:dyDescent="0.3">
      <c r="L6801" s="14"/>
    </row>
    <row r="6802" spans="12:12" x14ac:dyDescent="0.3">
      <c r="L6802" s="14"/>
    </row>
    <row r="6803" spans="12:12" x14ac:dyDescent="0.3">
      <c r="L6803" s="14"/>
    </row>
    <row r="6804" spans="12:12" x14ac:dyDescent="0.3">
      <c r="L6804" s="14"/>
    </row>
    <row r="6805" spans="12:12" x14ac:dyDescent="0.3">
      <c r="L6805" s="14"/>
    </row>
    <row r="6806" spans="12:12" x14ac:dyDescent="0.3">
      <c r="L6806" s="14"/>
    </row>
    <row r="6807" spans="12:12" x14ac:dyDescent="0.3">
      <c r="L6807" s="14"/>
    </row>
    <row r="6808" spans="12:12" x14ac:dyDescent="0.3">
      <c r="L6808" s="14"/>
    </row>
    <row r="6809" spans="12:12" x14ac:dyDescent="0.3">
      <c r="L6809" s="14"/>
    </row>
    <row r="6810" spans="12:12" x14ac:dyDescent="0.3">
      <c r="L6810" s="14"/>
    </row>
    <row r="6811" spans="12:12" x14ac:dyDescent="0.3">
      <c r="L6811" s="14"/>
    </row>
    <row r="6812" spans="12:12" x14ac:dyDescent="0.3">
      <c r="L6812" s="14"/>
    </row>
    <row r="6813" spans="12:12" x14ac:dyDescent="0.3">
      <c r="L6813" s="14"/>
    </row>
    <row r="6814" spans="12:12" x14ac:dyDescent="0.3">
      <c r="L6814" s="14"/>
    </row>
    <row r="6815" spans="12:12" x14ac:dyDescent="0.3">
      <c r="L6815" s="14"/>
    </row>
    <row r="6816" spans="12:12" x14ac:dyDescent="0.3">
      <c r="L6816" s="14"/>
    </row>
    <row r="6817" spans="12:12" x14ac:dyDescent="0.3">
      <c r="L6817" s="14"/>
    </row>
    <row r="6818" spans="12:12" x14ac:dyDescent="0.3">
      <c r="L6818" s="14"/>
    </row>
    <row r="6819" spans="12:12" x14ac:dyDescent="0.3">
      <c r="L6819" s="14"/>
    </row>
    <row r="6820" spans="12:12" x14ac:dyDescent="0.3">
      <c r="L6820" s="14"/>
    </row>
    <row r="6821" spans="12:12" x14ac:dyDescent="0.3">
      <c r="L6821" s="14"/>
    </row>
    <row r="6822" spans="12:12" x14ac:dyDescent="0.3">
      <c r="L6822" s="14"/>
    </row>
    <row r="6823" spans="12:12" x14ac:dyDescent="0.3">
      <c r="L6823" s="14"/>
    </row>
    <row r="6824" spans="12:12" x14ac:dyDescent="0.3">
      <c r="L6824" s="14"/>
    </row>
    <row r="6825" spans="12:12" x14ac:dyDescent="0.3">
      <c r="L6825" s="14"/>
    </row>
    <row r="6826" spans="12:12" x14ac:dyDescent="0.3">
      <c r="L6826" s="14"/>
    </row>
    <row r="6827" spans="12:12" x14ac:dyDescent="0.3">
      <c r="L6827" s="14"/>
    </row>
    <row r="6828" spans="12:12" x14ac:dyDescent="0.3">
      <c r="L6828" s="14"/>
    </row>
    <row r="6829" spans="12:12" x14ac:dyDescent="0.3">
      <c r="L6829" s="14"/>
    </row>
    <row r="6830" spans="12:12" x14ac:dyDescent="0.3">
      <c r="L6830" s="14"/>
    </row>
    <row r="6831" spans="12:12" x14ac:dyDescent="0.3">
      <c r="L6831" s="14"/>
    </row>
    <row r="6832" spans="12:12" x14ac:dyDescent="0.3">
      <c r="L6832" s="14"/>
    </row>
    <row r="6833" spans="12:12" x14ac:dyDescent="0.3">
      <c r="L6833" s="14"/>
    </row>
    <row r="6834" spans="12:12" x14ac:dyDescent="0.3">
      <c r="L6834" s="14"/>
    </row>
    <row r="6835" spans="12:12" x14ac:dyDescent="0.3">
      <c r="L6835" s="14"/>
    </row>
    <row r="6836" spans="12:12" x14ac:dyDescent="0.3">
      <c r="L6836" s="14"/>
    </row>
    <row r="6837" spans="12:12" x14ac:dyDescent="0.3">
      <c r="L6837" s="14"/>
    </row>
    <row r="6838" spans="12:12" x14ac:dyDescent="0.3">
      <c r="L6838" s="14"/>
    </row>
    <row r="6839" spans="12:12" x14ac:dyDescent="0.3">
      <c r="L6839" s="14"/>
    </row>
    <row r="6840" spans="12:12" x14ac:dyDescent="0.3">
      <c r="L6840" s="14"/>
    </row>
    <row r="6841" spans="12:12" x14ac:dyDescent="0.3">
      <c r="L6841" s="14"/>
    </row>
    <row r="6842" spans="12:12" x14ac:dyDescent="0.3">
      <c r="L6842" s="14"/>
    </row>
    <row r="6843" spans="12:12" x14ac:dyDescent="0.3">
      <c r="L6843" s="14"/>
    </row>
    <row r="6844" spans="12:12" x14ac:dyDescent="0.3">
      <c r="L6844" s="14"/>
    </row>
    <row r="6845" spans="12:12" x14ac:dyDescent="0.3">
      <c r="L6845" s="14"/>
    </row>
    <row r="6846" spans="12:12" x14ac:dyDescent="0.3">
      <c r="L6846" s="14"/>
    </row>
    <row r="6847" spans="12:12" x14ac:dyDescent="0.3">
      <c r="L6847" s="14"/>
    </row>
    <row r="6848" spans="12:12" x14ac:dyDescent="0.3">
      <c r="L6848" s="14"/>
    </row>
    <row r="6849" spans="12:12" x14ac:dyDescent="0.3">
      <c r="L6849" s="14"/>
    </row>
    <row r="6850" spans="12:12" x14ac:dyDescent="0.3">
      <c r="L6850" s="14"/>
    </row>
    <row r="6851" spans="12:12" x14ac:dyDescent="0.3">
      <c r="L6851" s="14"/>
    </row>
    <row r="6852" spans="12:12" x14ac:dyDescent="0.3">
      <c r="L6852" s="14"/>
    </row>
    <row r="6853" spans="12:12" x14ac:dyDescent="0.3">
      <c r="L6853" s="14"/>
    </row>
    <row r="6854" spans="12:12" x14ac:dyDescent="0.3">
      <c r="L6854" s="14"/>
    </row>
    <row r="6855" spans="12:12" x14ac:dyDescent="0.3">
      <c r="L6855" s="14"/>
    </row>
    <row r="6856" spans="12:12" x14ac:dyDescent="0.3">
      <c r="L6856" s="14"/>
    </row>
    <row r="6857" spans="12:12" x14ac:dyDescent="0.3">
      <c r="L6857" s="14"/>
    </row>
    <row r="6858" spans="12:12" x14ac:dyDescent="0.3">
      <c r="L6858" s="14"/>
    </row>
    <row r="6859" spans="12:12" x14ac:dyDescent="0.3">
      <c r="L6859" s="14"/>
    </row>
    <row r="6860" spans="12:12" x14ac:dyDescent="0.3">
      <c r="L6860" s="14"/>
    </row>
    <row r="6861" spans="12:12" x14ac:dyDescent="0.3">
      <c r="L6861" s="14"/>
    </row>
    <row r="6862" spans="12:12" x14ac:dyDescent="0.3">
      <c r="L6862" s="14"/>
    </row>
    <row r="6863" spans="12:12" x14ac:dyDescent="0.3">
      <c r="L6863" s="14"/>
    </row>
    <row r="6864" spans="12:12" x14ac:dyDescent="0.3">
      <c r="L6864" s="14"/>
    </row>
    <row r="6865" spans="12:12" x14ac:dyDescent="0.3">
      <c r="L6865" s="14"/>
    </row>
    <row r="6866" spans="12:12" x14ac:dyDescent="0.3">
      <c r="L6866" s="14"/>
    </row>
    <row r="6867" spans="12:12" x14ac:dyDescent="0.3">
      <c r="L6867" s="14"/>
    </row>
    <row r="6868" spans="12:12" x14ac:dyDescent="0.3">
      <c r="L6868" s="14"/>
    </row>
    <row r="6869" spans="12:12" x14ac:dyDescent="0.3">
      <c r="L6869" s="14"/>
    </row>
    <row r="6870" spans="12:12" x14ac:dyDescent="0.3">
      <c r="L6870" s="14"/>
    </row>
    <row r="6871" spans="12:12" x14ac:dyDescent="0.3">
      <c r="L6871" s="14"/>
    </row>
    <row r="6872" spans="12:12" x14ac:dyDescent="0.3">
      <c r="L6872" s="14"/>
    </row>
    <row r="6873" spans="12:12" x14ac:dyDescent="0.3">
      <c r="L6873" s="14"/>
    </row>
    <row r="6874" spans="12:12" x14ac:dyDescent="0.3">
      <c r="L6874" s="14"/>
    </row>
    <row r="6875" spans="12:12" x14ac:dyDescent="0.3">
      <c r="L6875" s="14"/>
    </row>
    <row r="6876" spans="12:12" x14ac:dyDescent="0.3">
      <c r="L6876" s="14"/>
    </row>
    <row r="6877" spans="12:12" x14ac:dyDescent="0.3">
      <c r="L6877" s="14"/>
    </row>
    <row r="6878" spans="12:12" x14ac:dyDescent="0.3">
      <c r="L6878" s="14"/>
    </row>
    <row r="6879" spans="12:12" x14ac:dyDescent="0.3">
      <c r="L6879" s="14"/>
    </row>
    <row r="6880" spans="12:12" x14ac:dyDescent="0.3">
      <c r="L6880" s="14"/>
    </row>
    <row r="6881" spans="12:12" x14ac:dyDescent="0.3">
      <c r="L6881" s="14"/>
    </row>
    <row r="6882" spans="12:12" x14ac:dyDescent="0.3">
      <c r="L6882" s="14"/>
    </row>
    <row r="6883" spans="12:12" x14ac:dyDescent="0.3">
      <c r="L6883" s="14"/>
    </row>
    <row r="6884" spans="12:12" x14ac:dyDescent="0.3">
      <c r="L6884" s="14"/>
    </row>
    <row r="6885" spans="12:12" x14ac:dyDescent="0.3">
      <c r="L6885" s="14"/>
    </row>
    <row r="6886" spans="12:12" x14ac:dyDescent="0.3">
      <c r="L6886" s="14"/>
    </row>
    <row r="6887" spans="12:12" x14ac:dyDescent="0.3">
      <c r="L6887" s="14"/>
    </row>
    <row r="6888" spans="12:12" x14ac:dyDescent="0.3">
      <c r="L6888" s="14"/>
    </row>
    <row r="6889" spans="12:12" x14ac:dyDescent="0.3">
      <c r="L6889" s="14"/>
    </row>
    <row r="6890" spans="12:12" x14ac:dyDescent="0.3">
      <c r="L6890" s="14"/>
    </row>
    <row r="6891" spans="12:12" x14ac:dyDescent="0.3">
      <c r="L6891" s="14"/>
    </row>
    <row r="6892" spans="12:12" x14ac:dyDescent="0.3">
      <c r="L6892" s="14"/>
    </row>
    <row r="6893" spans="12:12" x14ac:dyDescent="0.3">
      <c r="L6893" s="14"/>
    </row>
    <row r="6894" spans="12:12" x14ac:dyDescent="0.3">
      <c r="L6894" s="14"/>
    </row>
    <row r="6895" spans="12:12" x14ac:dyDescent="0.3">
      <c r="L6895" s="14"/>
    </row>
    <row r="6896" spans="12:12" x14ac:dyDescent="0.3">
      <c r="L6896" s="14"/>
    </row>
    <row r="6897" spans="12:12" x14ac:dyDescent="0.3">
      <c r="L6897" s="14"/>
    </row>
    <row r="6898" spans="12:12" x14ac:dyDescent="0.3">
      <c r="L6898" s="14"/>
    </row>
    <row r="6899" spans="12:12" x14ac:dyDescent="0.3">
      <c r="L6899" s="14"/>
    </row>
    <row r="6900" spans="12:12" x14ac:dyDescent="0.3">
      <c r="L6900" s="14"/>
    </row>
    <row r="6901" spans="12:12" x14ac:dyDescent="0.3">
      <c r="L6901" s="14"/>
    </row>
    <row r="6902" spans="12:12" x14ac:dyDescent="0.3">
      <c r="L6902" s="14"/>
    </row>
    <row r="6903" spans="12:12" x14ac:dyDescent="0.3">
      <c r="L6903" s="14"/>
    </row>
    <row r="6904" spans="12:12" x14ac:dyDescent="0.3">
      <c r="L6904" s="14"/>
    </row>
    <row r="6905" spans="12:12" x14ac:dyDescent="0.3">
      <c r="L6905" s="14"/>
    </row>
    <row r="6906" spans="12:12" x14ac:dyDescent="0.3">
      <c r="L6906" s="14"/>
    </row>
    <row r="6907" spans="12:12" x14ac:dyDescent="0.3">
      <c r="L6907" s="14"/>
    </row>
    <row r="6908" spans="12:12" x14ac:dyDescent="0.3">
      <c r="L6908" s="14"/>
    </row>
    <row r="6909" spans="12:12" x14ac:dyDescent="0.3">
      <c r="L6909" s="14"/>
    </row>
    <row r="6910" spans="12:12" x14ac:dyDescent="0.3">
      <c r="L6910" s="14"/>
    </row>
    <row r="6911" spans="12:12" x14ac:dyDescent="0.3">
      <c r="L6911" s="14"/>
    </row>
    <row r="6912" spans="12:12" x14ac:dyDescent="0.3">
      <c r="L6912" s="14"/>
    </row>
    <row r="6913" spans="12:12" x14ac:dyDescent="0.3">
      <c r="L6913" s="14"/>
    </row>
    <row r="6914" spans="12:12" x14ac:dyDescent="0.3">
      <c r="L6914" s="14"/>
    </row>
    <row r="6915" spans="12:12" x14ac:dyDescent="0.3">
      <c r="L6915" s="14"/>
    </row>
    <row r="6916" spans="12:12" x14ac:dyDescent="0.3">
      <c r="L6916" s="14"/>
    </row>
    <row r="6917" spans="12:12" x14ac:dyDescent="0.3">
      <c r="L6917" s="14"/>
    </row>
    <row r="6918" spans="12:12" x14ac:dyDescent="0.3">
      <c r="L6918" s="14"/>
    </row>
    <row r="6919" spans="12:12" x14ac:dyDescent="0.3">
      <c r="L6919" s="14"/>
    </row>
    <row r="6920" spans="12:12" x14ac:dyDescent="0.3">
      <c r="L6920" s="14"/>
    </row>
    <row r="6921" spans="12:12" x14ac:dyDescent="0.3">
      <c r="L6921" s="14"/>
    </row>
    <row r="6922" spans="12:12" x14ac:dyDescent="0.3">
      <c r="L6922" s="14"/>
    </row>
    <row r="6923" spans="12:12" x14ac:dyDescent="0.3">
      <c r="L6923" s="14"/>
    </row>
    <row r="6924" spans="12:12" x14ac:dyDescent="0.3">
      <c r="L6924" s="14"/>
    </row>
    <row r="6925" spans="12:12" x14ac:dyDescent="0.3">
      <c r="L6925" s="14"/>
    </row>
    <row r="6926" spans="12:12" x14ac:dyDescent="0.3">
      <c r="L6926" s="14"/>
    </row>
    <row r="6927" spans="12:12" x14ac:dyDescent="0.3">
      <c r="L6927" s="14"/>
    </row>
    <row r="6928" spans="12:12" x14ac:dyDescent="0.3">
      <c r="L6928" s="14"/>
    </row>
    <row r="6929" spans="12:12" x14ac:dyDescent="0.3">
      <c r="L6929" s="14"/>
    </row>
    <row r="6930" spans="12:12" x14ac:dyDescent="0.3">
      <c r="L6930" s="14"/>
    </row>
    <row r="6931" spans="12:12" x14ac:dyDescent="0.3">
      <c r="L6931" s="14"/>
    </row>
    <row r="6932" spans="12:12" x14ac:dyDescent="0.3">
      <c r="L6932" s="14"/>
    </row>
    <row r="6933" spans="12:12" x14ac:dyDescent="0.3">
      <c r="L6933" s="14"/>
    </row>
    <row r="6934" spans="12:12" x14ac:dyDescent="0.3">
      <c r="L6934" s="14"/>
    </row>
    <row r="6935" spans="12:12" x14ac:dyDescent="0.3">
      <c r="L6935" s="14"/>
    </row>
    <row r="6936" spans="12:12" x14ac:dyDescent="0.3">
      <c r="L6936" s="14"/>
    </row>
    <row r="6937" spans="12:12" x14ac:dyDescent="0.3">
      <c r="L6937" s="14"/>
    </row>
    <row r="6938" spans="12:12" x14ac:dyDescent="0.3">
      <c r="L6938" s="14"/>
    </row>
    <row r="6939" spans="12:12" x14ac:dyDescent="0.3">
      <c r="L6939" s="14"/>
    </row>
    <row r="6940" spans="12:12" x14ac:dyDescent="0.3">
      <c r="L6940" s="14"/>
    </row>
    <row r="6941" spans="12:12" x14ac:dyDescent="0.3">
      <c r="L6941" s="14"/>
    </row>
    <row r="6942" spans="12:12" x14ac:dyDescent="0.3">
      <c r="L6942" s="14"/>
    </row>
    <row r="6943" spans="12:12" x14ac:dyDescent="0.3">
      <c r="L6943" s="14"/>
    </row>
    <row r="6944" spans="12:12" x14ac:dyDescent="0.3">
      <c r="L6944" s="14"/>
    </row>
    <row r="6945" spans="12:12" x14ac:dyDescent="0.3">
      <c r="L6945" s="14"/>
    </row>
    <row r="6946" spans="12:12" x14ac:dyDescent="0.3">
      <c r="L6946" s="14"/>
    </row>
    <row r="6947" spans="12:12" x14ac:dyDescent="0.3">
      <c r="L6947" s="14"/>
    </row>
    <row r="6948" spans="12:12" x14ac:dyDescent="0.3">
      <c r="L6948" s="14"/>
    </row>
    <row r="6949" spans="12:12" x14ac:dyDescent="0.3">
      <c r="L6949" s="14"/>
    </row>
    <row r="6950" spans="12:12" x14ac:dyDescent="0.3">
      <c r="L6950" s="14"/>
    </row>
    <row r="6951" spans="12:12" x14ac:dyDescent="0.3">
      <c r="L6951" s="14"/>
    </row>
    <row r="6952" spans="12:12" x14ac:dyDescent="0.3">
      <c r="L6952" s="14"/>
    </row>
    <row r="6953" spans="12:12" x14ac:dyDescent="0.3">
      <c r="L6953" s="14"/>
    </row>
    <row r="6954" spans="12:12" x14ac:dyDescent="0.3">
      <c r="L6954" s="14"/>
    </row>
    <row r="6955" spans="12:12" x14ac:dyDescent="0.3">
      <c r="L6955" s="14"/>
    </row>
    <row r="6956" spans="12:12" x14ac:dyDescent="0.3">
      <c r="L6956" s="14"/>
    </row>
    <row r="6957" spans="12:12" x14ac:dyDescent="0.3">
      <c r="L6957" s="14"/>
    </row>
    <row r="6958" spans="12:12" x14ac:dyDescent="0.3">
      <c r="L6958" s="14"/>
    </row>
    <row r="6959" spans="12:12" x14ac:dyDescent="0.3">
      <c r="L6959" s="14"/>
    </row>
    <row r="6960" spans="12:12" x14ac:dyDescent="0.3">
      <c r="L6960" s="14"/>
    </row>
    <row r="6961" spans="12:12" x14ac:dyDescent="0.3">
      <c r="L6961" s="14"/>
    </row>
    <row r="6962" spans="12:12" x14ac:dyDescent="0.3">
      <c r="L6962" s="14"/>
    </row>
    <row r="6963" spans="12:12" x14ac:dyDescent="0.3">
      <c r="L6963" s="14"/>
    </row>
    <row r="6964" spans="12:12" x14ac:dyDescent="0.3">
      <c r="L6964" s="14"/>
    </row>
    <row r="6965" spans="12:12" x14ac:dyDescent="0.3">
      <c r="L6965" s="14"/>
    </row>
    <row r="6966" spans="12:12" x14ac:dyDescent="0.3">
      <c r="L6966" s="14"/>
    </row>
    <row r="6967" spans="12:12" x14ac:dyDescent="0.3">
      <c r="L6967" s="14"/>
    </row>
    <row r="6968" spans="12:12" x14ac:dyDescent="0.3">
      <c r="L6968" s="14"/>
    </row>
    <row r="6969" spans="12:12" x14ac:dyDescent="0.3">
      <c r="L6969" s="14"/>
    </row>
    <row r="6970" spans="12:12" x14ac:dyDescent="0.3">
      <c r="L6970" s="14"/>
    </row>
    <row r="6971" spans="12:12" x14ac:dyDescent="0.3">
      <c r="L6971" s="14"/>
    </row>
    <row r="6972" spans="12:12" x14ac:dyDescent="0.3">
      <c r="L6972" s="14"/>
    </row>
    <row r="6973" spans="12:12" x14ac:dyDescent="0.3">
      <c r="L6973" s="14"/>
    </row>
    <row r="6974" spans="12:12" x14ac:dyDescent="0.3">
      <c r="L6974" s="14"/>
    </row>
    <row r="6975" spans="12:12" x14ac:dyDescent="0.3">
      <c r="L6975" s="14"/>
    </row>
    <row r="6976" spans="12:12" x14ac:dyDescent="0.3">
      <c r="L6976" s="14"/>
    </row>
    <row r="6977" spans="12:12" x14ac:dyDescent="0.3">
      <c r="L6977" s="14"/>
    </row>
    <row r="6978" spans="12:12" x14ac:dyDescent="0.3">
      <c r="L6978" s="14"/>
    </row>
    <row r="6979" spans="12:12" x14ac:dyDescent="0.3">
      <c r="L6979" s="14"/>
    </row>
    <row r="6980" spans="12:12" x14ac:dyDescent="0.3">
      <c r="L6980" s="14"/>
    </row>
    <row r="6981" spans="12:12" x14ac:dyDescent="0.3">
      <c r="L6981" s="14"/>
    </row>
    <row r="6982" spans="12:12" x14ac:dyDescent="0.3">
      <c r="L6982" s="14"/>
    </row>
    <row r="6983" spans="12:12" x14ac:dyDescent="0.3">
      <c r="L6983" s="14"/>
    </row>
    <row r="6984" spans="12:12" x14ac:dyDescent="0.3">
      <c r="L6984" s="14"/>
    </row>
    <row r="6985" spans="12:12" x14ac:dyDescent="0.3">
      <c r="L6985" s="14"/>
    </row>
    <row r="6986" spans="12:12" x14ac:dyDescent="0.3">
      <c r="L6986" s="14"/>
    </row>
    <row r="6987" spans="12:12" x14ac:dyDescent="0.3">
      <c r="L6987" s="14"/>
    </row>
    <row r="6988" spans="12:12" x14ac:dyDescent="0.3">
      <c r="L6988" s="14"/>
    </row>
    <row r="6989" spans="12:12" x14ac:dyDescent="0.3">
      <c r="L6989" s="14"/>
    </row>
    <row r="6990" spans="12:12" x14ac:dyDescent="0.3">
      <c r="L6990" s="14"/>
    </row>
    <row r="6991" spans="12:12" x14ac:dyDescent="0.3">
      <c r="L6991" s="14"/>
    </row>
    <row r="6992" spans="12:12" x14ac:dyDescent="0.3">
      <c r="L6992" s="14"/>
    </row>
    <row r="6993" spans="12:12" x14ac:dyDescent="0.3">
      <c r="L6993" s="14"/>
    </row>
    <row r="6994" spans="12:12" x14ac:dyDescent="0.3">
      <c r="L6994" s="14"/>
    </row>
    <row r="6995" spans="12:12" x14ac:dyDescent="0.3">
      <c r="L6995" s="14"/>
    </row>
    <row r="6996" spans="12:12" x14ac:dyDescent="0.3">
      <c r="L6996" s="14"/>
    </row>
    <row r="6997" spans="12:12" x14ac:dyDescent="0.3">
      <c r="L6997" s="14"/>
    </row>
    <row r="6998" spans="12:12" x14ac:dyDescent="0.3">
      <c r="L6998" s="14"/>
    </row>
    <row r="6999" spans="12:12" x14ac:dyDescent="0.3">
      <c r="L6999" s="14"/>
    </row>
    <row r="7000" spans="12:12" x14ac:dyDescent="0.3">
      <c r="L7000" s="14"/>
    </row>
    <row r="7001" spans="12:12" x14ac:dyDescent="0.3">
      <c r="L7001" s="14"/>
    </row>
    <row r="7002" spans="12:12" x14ac:dyDescent="0.3">
      <c r="L7002" s="14"/>
    </row>
    <row r="7003" spans="12:12" x14ac:dyDescent="0.3">
      <c r="L7003" s="14"/>
    </row>
    <row r="7004" spans="12:12" x14ac:dyDescent="0.3">
      <c r="L7004" s="14"/>
    </row>
    <row r="7005" spans="12:12" x14ac:dyDescent="0.3">
      <c r="L7005" s="14"/>
    </row>
    <row r="7006" spans="12:12" x14ac:dyDescent="0.3">
      <c r="L7006" s="14"/>
    </row>
    <row r="7007" spans="12:12" x14ac:dyDescent="0.3">
      <c r="L7007" s="14"/>
    </row>
    <row r="7008" spans="12:12" x14ac:dyDescent="0.3">
      <c r="L7008" s="14"/>
    </row>
    <row r="7009" spans="12:12" x14ac:dyDescent="0.3">
      <c r="L7009" s="14"/>
    </row>
    <row r="7010" spans="12:12" x14ac:dyDescent="0.3">
      <c r="L7010" s="14"/>
    </row>
    <row r="7011" spans="12:12" x14ac:dyDescent="0.3">
      <c r="L7011" s="14"/>
    </row>
    <row r="7012" spans="12:12" x14ac:dyDescent="0.3">
      <c r="L7012" s="14"/>
    </row>
    <row r="7013" spans="12:12" x14ac:dyDescent="0.3">
      <c r="L7013" s="14"/>
    </row>
    <row r="7014" spans="12:12" x14ac:dyDescent="0.3">
      <c r="L7014" s="14"/>
    </row>
    <row r="7015" spans="12:12" x14ac:dyDescent="0.3">
      <c r="L7015" s="14"/>
    </row>
    <row r="7016" spans="12:12" x14ac:dyDescent="0.3">
      <c r="L7016" s="14"/>
    </row>
    <row r="7017" spans="12:12" x14ac:dyDescent="0.3">
      <c r="L7017" s="14"/>
    </row>
    <row r="7018" spans="12:12" x14ac:dyDescent="0.3">
      <c r="L7018" s="14"/>
    </row>
    <row r="7019" spans="12:12" x14ac:dyDescent="0.3">
      <c r="L7019" s="14"/>
    </row>
    <row r="7020" spans="12:12" x14ac:dyDescent="0.3">
      <c r="L7020" s="14"/>
    </row>
    <row r="7021" spans="12:12" x14ac:dyDescent="0.3">
      <c r="L7021" s="14"/>
    </row>
    <row r="7022" spans="12:12" x14ac:dyDescent="0.3">
      <c r="L7022" s="14"/>
    </row>
    <row r="7023" spans="12:12" x14ac:dyDescent="0.3">
      <c r="L7023" s="14"/>
    </row>
    <row r="7024" spans="12:12" x14ac:dyDescent="0.3">
      <c r="L7024" s="14"/>
    </row>
    <row r="7025" spans="12:12" x14ac:dyDescent="0.3">
      <c r="L7025" s="14"/>
    </row>
    <row r="7026" spans="12:12" x14ac:dyDescent="0.3">
      <c r="L7026" s="14"/>
    </row>
    <row r="7027" spans="12:12" x14ac:dyDescent="0.3">
      <c r="L7027" s="14"/>
    </row>
    <row r="7028" spans="12:12" x14ac:dyDescent="0.3">
      <c r="L7028" s="14"/>
    </row>
    <row r="7029" spans="12:12" x14ac:dyDescent="0.3">
      <c r="L7029" s="14"/>
    </row>
    <row r="7030" spans="12:12" x14ac:dyDescent="0.3">
      <c r="L7030" s="14"/>
    </row>
    <row r="7031" spans="12:12" x14ac:dyDescent="0.3">
      <c r="L7031" s="14"/>
    </row>
    <row r="7032" spans="12:12" x14ac:dyDescent="0.3">
      <c r="L7032" s="14"/>
    </row>
    <row r="7033" spans="12:12" x14ac:dyDescent="0.3">
      <c r="L7033" s="14"/>
    </row>
    <row r="7034" spans="12:12" x14ac:dyDescent="0.3">
      <c r="L7034" s="14"/>
    </row>
    <row r="7035" spans="12:12" x14ac:dyDescent="0.3">
      <c r="L7035" s="14"/>
    </row>
    <row r="7036" spans="12:12" x14ac:dyDescent="0.3">
      <c r="L7036" s="14"/>
    </row>
    <row r="7037" spans="12:12" x14ac:dyDescent="0.3">
      <c r="L7037" s="14"/>
    </row>
    <row r="7038" spans="12:12" x14ac:dyDescent="0.3">
      <c r="L7038" s="14"/>
    </row>
    <row r="7039" spans="12:12" x14ac:dyDescent="0.3">
      <c r="L7039" s="14"/>
    </row>
    <row r="7040" spans="12:12" x14ac:dyDescent="0.3">
      <c r="L7040" s="14"/>
    </row>
    <row r="7041" spans="12:12" x14ac:dyDescent="0.3">
      <c r="L7041" s="14"/>
    </row>
    <row r="7042" spans="12:12" x14ac:dyDescent="0.3">
      <c r="L7042" s="14"/>
    </row>
    <row r="7043" spans="12:12" x14ac:dyDescent="0.3">
      <c r="L7043" s="14"/>
    </row>
    <row r="7044" spans="12:12" x14ac:dyDescent="0.3">
      <c r="L7044" s="14"/>
    </row>
    <row r="7045" spans="12:12" x14ac:dyDescent="0.3">
      <c r="L7045" s="14"/>
    </row>
    <row r="7046" spans="12:12" x14ac:dyDescent="0.3">
      <c r="L7046" s="14"/>
    </row>
    <row r="7047" spans="12:12" x14ac:dyDescent="0.3">
      <c r="L7047" s="14"/>
    </row>
    <row r="7048" spans="12:12" x14ac:dyDescent="0.3">
      <c r="L7048" s="14"/>
    </row>
    <row r="7049" spans="12:12" x14ac:dyDescent="0.3">
      <c r="L7049" s="14"/>
    </row>
    <row r="7050" spans="12:12" x14ac:dyDescent="0.3">
      <c r="L7050" s="14"/>
    </row>
    <row r="7051" spans="12:12" x14ac:dyDescent="0.3">
      <c r="L7051" s="14"/>
    </row>
    <row r="7052" spans="12:12" x14ac:dyDescent="0.3">
      <c r="L7052" s="14"/>
    </row>
    <row r="7053" spans="12:12" x14ac:dyDescent="0.3">
      <c r="L7053" s="14"/>
    </row>
    <row r="7054" spans="12:12" x14ac:dyDescent="0.3">
      <c r="L7054" s="14"/>
    </row>
    <row r="7055" spans="12:12" x14ac:dyDescent="0.3">
      <c r="L7055" s="14"/>
    </row>
    <row r="7056" spans="12:12" x14ac:dyDescent="0.3">
      <c r="L7056" s="14"/>
    </row>
    <row r="7057" spans="12:12" x14ac:dyDescent="0.3">
      <c r="L7057" s="14"/>
    </row>
    <row r="7058" spans="12:12" x14ac:dyDescent="0.3">
      <c r="L7058" s="14"/>
    </row>
    <row r="7059" spans="12:12" x14ac:dyDescent="0.3">
      <c r="L7059" s="14"/>
    </row>
    <row r="7060" spans="12:12" x14ac:dyDescent="0.3">
      <c r="L7060" s="14"/>
    </row>
    <row r="7061" spans="12:12" x14ac:dyDescent="0.3">
      <c r="L7061" s="14"/>
    </row>
    <row r="7062" spans="12:12" x14ac:dyDescent="0.3">
      <c r="L7062" s="14"/>
    </row>
    <row r="7063" spans="12:12" x14ac:dyDescent="0.3">
      <c r="L7063" s="14"/>
    </row>
    <row r="7064" spans="12:12" x14ac:dyDescent="0.3">
      <c r="L7064" s="14"/>
    </row>
    <row r="7065" spans="12:12" x14ac:dyDescent="0.3">
      <c r="L7065" s="14"/>
    </row>
    <row r="7066" spans="12:12" x14ac:dyDescent="0.3">
      <c r="L7066" s="14"/>
    </row>
    <row r="7067" spans="12:12" x14ac:dyDescent="0.3">
      <c r="L7067" s="14"/>
    </row>
    <row r="7068" spans="12:12" x14ac:dyDescent="0.3">
      <c r="L7068" s="14"/>
    </row>
    <row r="7069" spans="12:12" x14ac:dyDescent="0.3">
      <c r="L7069" s="14"/>
    </row>
    <row r="7070" spans="12:12" x14ac:dyDescent="0.3">
      <c r="L7070" s="14"/>
    </row>
    <row r="7071" spans="12:12" x14ac:dyDescent="0.3">
      <c r="L7071" s="14"/>
    </row>
    <row r="7072" spans="12:12" x14ac:dyDescent="0.3">
      <c r="L7072" s="14"/>
    </row>
    <row r="7073" spans="12:12" x14ac:dyDescent="0.3">
      <c r="L7073" s="14"/>
    </row>
    <row r="7074" spans="12:12" x14ac:dyDescent="0.3">
      <c r="L7074" s="14"/>
    </row>
    <row r="7075" spans="12:12" x14ac:dyDescent="0.3">
      <c r="L7075" s="14"/>
    </row>
    <row r="7076" spans="12:12" x14ac:dyDescent="0.3">
      <c r="L7076" s="14"/>
    </row>
    <row r="7077" spans="12:12" x14ac:dyDescent="0.3">
      <c r="L7077" s="14"/>
    </row>
    <row r="7078" spans="12:12" x14ac:dyDescent="0.3">
      <c r="L7078" s="14"/>
    </row>
    <row r="7079" spans="12:12" x14ac:dyDescent="0.3">
      <c r="L7079" s="14"/>
    </row>
    <row r="7080" spans="12:12" x14ac:dyDescent="0.3">
      <c r="L7080" s="14"/>
    </row>
    <row r="7081" spans="12:12" x14ac:dyDescent="0.3">
      <c r="L7081" s="14"/>
    </row>
    <row r="7082" spans="12:12" x14ac:dyDescent="0.3">
      <c r="L7082" s="14"/>
    </row>
    <row r="7083" spans="12:12" x14ac:dyDescent="0.3">
      <c r="L7083" s="14"/>
    </row>
    <row r="7084" spans="12:12" x14ac:dyDescent="0.3">
      <c r="L7084" s="14"/>
    </row>
    <row r="7085" spans="12:12" x14ac:dyDescent="0.3">
      <c r="L7085" s="14"/>
    </row>
    <row r="7086" spans="12:12" x14ac:dyDescent="0.3">
      <c r="L7086" s="14"/>
    </row>
    <row r="7087" spans="12:12" x14ac:dyDescent="0.3">
      <c r="L7087" s="14"/>
    </row>
    <row r="7088" spans="12:12" x14ac:dyDescent="0.3">
      <c r="L7088" s="14"/>
    </row>
    <row r="7089" spans="12:12" x14ac:dyDescent="0.3">
      <c r="L7089" s="14"/>
    </row>
    <row r="7090" spans="12:12" x14ac:dyDescent="0.3">
      <c r="L7090" s="14"/>
    </row>
    <row r="7091" spans="12:12" x14ac:dyDescent="0.3">
      <c r="L7091" s="14"/>
    </row>
    <row r="7092" spans="12:12" x14ac:dyDescent="0.3">
      <c r="L7092" s="14"/>
    </row>
    <row r="7093" spans="12:12" x14ac:dyDescent="0.3">
      <c r="L7093" s="14"/>
    </row>
    <row r="7094" spans="12:12" x14ac:dyDescent="0.3">
      <c r="L7094" s="14"/>
    </row>
    <row r="7095" spans="12:12" x14ac:dyDescent="0.3">
      <c r="L7095" s="14"/>
    </row>
    <row r="7096" spans="12:12" x14ac:dyDescent="0.3">
      <c r="L7096" s="14"/>
    </row>
    <row r="7097" spans="12:12" x14ac:dyDescent="0.3">
      <c r="L7097" s="14"/>
    </row>
    <row r="7098" spans="12:12" x14ac:dyDescent="0.3">
      <c r="L7098" s="14"/>
    </row>
    <row r="7099" spans="12:12" x14ac:dyDescent="0.3">
      <c r="L7099" s="14"/>
    </row>
    <row r="7100" spans="12:12" x14ac:dyDescent="0.3">
      <c r="L7100" s="14"/>
    </row>
    <row r="7101" spans="12:12" x14ac:dyDescent="0.3">
      <c r="L7101" s="14"/>
    </row>
    <row r="7102" spans="12:12" x14ac:dyDescent="0.3">
      <c r="L7102" s="14"/>
    </row>
    <row r="7103" spans="12:12" x14ac:dyDescent="0.3">
      <c r="L7103" s="14"/>
    </row>
    <row r="7104" spans="12:12" x14ac:dyDescent="0.3">
      <c r="L7104" s="14"/>
    </row>
    <row r="7105" spans="12:12" x14ac:dyDescent="0.3">
      <c r="L7105" s="14"/>
    </row>
    <row r="7106" spans="12:12" x14ac:dyDescent="0.3">
      <c r="L7106" s="14"/>
    </row>
    <row r="7107" spans="12:12" x14ac:dyDescent="0.3">
      <c r="L7107" s="14"/>
    </row>
    <row r="7108" spans="12:12" x14ac:dyDescent="0.3">
      <c r="L7108" s="14"/>
    </row>
    <row r="7109" spans="12:12" x14ac:dyDescent="0.3">
      <c r="L7109" s="14"/>
    </row>
    <row r="7110" spans="12:12" x14ac:dyDescent="0.3">
      <c r="L7110" s="14"/>
    </row>
    <row r="7111" spans="12:12" x14ac:dyDescent="0.3">
      <c r="L7111" s="14"/>
    </row>
    <row r="7112" spans="12:12" x14ac:dyDescent="0.3">
      <c r="L7112" s="14"/>
    </row>
    <row r="7113" spans="12:12" x14ac:dyDescent="0.3">
      <c r="L7113" s="14"/>
    </row>
    <row r="7114" spans="12:12" x14ac:dyDescent="0.3">
      <c r="L7114" s="14"/>
    </row>
    <row r="7115" spans="12:12" x14ac:dyDescent="0.3">
      <c r="L7115" s="14"/>
    </row>
    <row r="7116" spans="12:12" x14ac:dyDescent="0.3">
      <c r="L7116" s="14"/>
    </row>
    <row r="7117" spans="12:12" x14ac:dyDescent="0.3">
      <c r="L7117" s="14"/>
    </row>
    <row r="7118" spans="12:12" x14ac:dyDescent="0.3">
      <c r="L7118" s="14"/>
    </row>
    <row r="7119" spans="12:12" x14ac:dyDescent="0.3">
      <c r="L7119" s="14"/>
    </row>
    <row r="7120" spans="12:12" x14ac:dyDescent="0.3">
      <c r="L7120" s="14"/>
    </row>
    <row r="7121" spans="12:12" x14ac:dyDescent="0.3">
      <c r="L7121" s="14"/>
    </row>
    <row r="7122" spans="12:12" x14ac:dyDescent="0.3">
      <c r="L7122" s="14"/>
    </row>
    <row r="7123" spans="12:12" x14ac:dyDescent="0.3">
      <c r="L7123" s="14"/>
    </row>
    <row r="7124" spans="12:12" x14ac:dyDescent="0.3">
      <c r="L7124" s="14"/>
    </row>
    <row r="7125" spans="12:12" x14ac:dyDescent="0.3">
      <c r="L7125" s="14"/>
    </row>
    <row r="7126" spans="12:12" x14ac:dyDescent="0.3">
      <c r="L7126" s="14"/>
    </row>
    <row r="7127" spans="12:12" x14ac:dyDescent="0.3">
      <c r="L7127" s="14"/>
    </row>
    <row r="7128" spans="12:12" x14ac:dyDescent="0.3">
      <c r="L7128" s="14"/>
    </row>
    <row r="7129" spans="12:12" x14ac:dyDescent="0.3">
      <c r="L7129" s="14"/>
    </row>
    <row r="7130" spans="12:12" x14ac:dyDescent="0.3">
      <c r="L7130" s="14"/>
    </row>
    <row r="7131" spans="12:12" x14ac:dyDescent="0.3">
      <c r="L7131" s="14"/>
    </row>
    <row r="7132" spans="12:12" x14ac:dyDescent="0.3">
      <c r="L7132" s="14"/>
    </row>
    <row r="7133" spans="12:12" x14ac:dyDescent="0.3">
      <c r="L7133" s="14"/>
    </row>
    <row r="7134" spans="12:12" x14ac:dyDescent="0.3">
      <c r="L7134" s="14"/>
    </row>
    <row r="7135" spans="12:12" x14ac:dyDescent="0.3">
      <c r="L7135" s="14"/>
    </row>
    <row r="7136" spans="12:12" x14ac:dyDescent="0.3">
      <c r="L7136" s="14"/>
    </row>
    <row r="7137" spans="12:12" x14ac:dyDescent="0.3">
      <c r="L7137" s="14"/>
    </row>
    <row r="7138" spans="12:12" x14ac:dyDescent="0.3">
      <c r="L7138" s="14"/>
    </row>
    <row r="7139" spans="12:12" x14ac:dyDescent="0.3">
      <c r="L7139" s="14"/>
    </row>
    <row r="7140" spans="12:12" x14ac:dyDescent="0.3">
      <c r="L7140" s="14"/>
    </row>
    <row r="7141" spans="12:12" x14ac:dyDescent="0.3">
      <c r="L7141" s="14"/>
    </row>
    <row r="7142" spans="12:12" x14ac:dyDescent="0.3">
      <c r="L7142" s="14"/>
    </row>
    <row r="7143" spans="12:12" x14ac:dyDescent="0.3">
      <c r="L7143" s="14"/>
    </row>
    <row r="7144" spans="12:12" x14ac:dyDescent="0.3">
      <c r="L7144" s="14"/>
    </row>
    <row r="7145" spans="12:12" x14ac:dyDescent="0.3">
      <c r="L7145" s="14"/>
    </row>
    <row r="7146" spans="12:12" x14ac:dyDescent="0.3">
      <c r="L7146" s="14"/>
    </row>
    <row r="7147" spans="12:12" x14ac:dyDescent="0.3">
      <c r="L7147" s="14"/>
    </row>
    <row r="7148" spans="12:12" x14ac:dyDescent="0.3">
      <c r="L7148" s="14"/>
    </row>
    <row r="7149" spans="12:12" x14ac:dyDescent="0.3">
      <c r="L7149" s="14"/>
    </row>
    <row r="7150" spans="12:12" x14ac:dyDescent="0.3">
      <c r="L7150" s="14"/>
    </row>
    <row r="7151" spans="12:12" x14ac:dyDescent="0.3">
      <c r="L7151" s="14"/>
    </row>
    <row r="7152" spans="12:12" x14ac:dyDescent="0.3">
      <c r="L7152" s="14"/>
    </row>
    <row r="7153" spans="12:12" x14ac:dyDescent="0.3">
      <c r="L7153" s="14"/>
    </row>
    <row r="7154" spans="12:12" x14ac:dyDescent="0.3">
      <c r="L7154" s="14"/>
    </row>
    <row r="7155" spans="12:12" x14ac:dyDescent="0.3">
      <c r="L7155" s="14"/>
    </row>
    <row r="7156" spans="12:12" x14ac:dyDescent="0.3">
      <c r="L7156" s="14"/>
    </row>
    <row r="7157" spans="12:12" x14ac:dyDescent="0.3">
      <c r="L7157" s="14"/>
    </row>
    <row r="7158" spans="12:12" x14ac:dyDescent="0.3">
      <c r="L7158" s="14"/>
    </row>
    <row r="7159" spans="12:12" x14ac:dyDescent="0.3">
      <c r="L7159" s="14"/>
    </row>
    <row r="7160" spans="12:12" x14ac:dyDescent="0.3">
      <c r="L7160" s="14"/>
    </row>
    <row r="7161" spans="12:12" x14ac:dyDescent="0.3">
      <c r="L7161" s="14"/>
    </row>
    <row r="7162" spans="12:12" x14ac:dyDescent="0.3">
      <c r="L7162" s="14"/>
    </row>
    <row r="7163" spans="12:12" x14ac:dyDescent="0.3">
      <c r="L7163" s="14"/>
    </row>
    <row r="7164" spans="12:12" x14ac:dyDescent="0.3">
      <c r="L7164" s="14"/>
    </row>
    <row r="7165" spans="12:12" x14ac:dyDescent="0.3">
      <c r="L7165" s="14"/>
    </row>
    <row r="7166" spans="12:12" x14ac:dyDescent="0.3">
      <c r="L7166" s="14"/>
    </row>
    <row r="7167" spans="12:12" x14ac:dyDescent="0.3">
      <c r="L7167" s="14"/>
    </row>
    <row r="7168" spans="12:12" x14ac:dyDescent="0.3">
      <c r="L7168" s="14"/>
    </row>
    <row r="7169" spans="12:12" x14ac:dyDescent="0.3">
      <c r="L7169" s="14"/>
    </row>
    <row r="7170" spans="12:12" x14ac:dyDescent="0.3">
      <c r="L7170" s="14"/>
    </row>
    <row r="7171" spans="12:12" x14ac:dyDescent="0.3">
      <c r="L7171" s="14"/>
    </row>
    <row r="7172" spans="12:12" x14ac:dyDescent="0.3">
      <c r="L7172" s="14"/>
    </row>
    <row r="7173" spans="12:12" x14ac:dyDescent="0.3">
      <c r="L7173" s="14"/>
    </row>
    <row r="7174" spans="12:12" x14ac:dyDescent="0.3">
      <c r="L7174" s="14"/>
    </row>
    <row r="7175" spans="12:12" x14ac:dyDescent="0.3">
      <c r="L7175" s="14"/>
    </row>
    <row r="7176" spans="12:12" x14ac:dyDescent="0.3">
      <c r="L7176" s="14"/>
    </row>
    <row r="7177" spans="12:12" x14ac:dyDescent="0.3">
      <c r="L7177" s="14"/>
    </row>
    <row r="7178" spans="12:12" x14ac:dyDescent="0.3">
      <c r="L7178" s="14"/>
    </row>
    <row r="7179" spans="12:12" x14ac:dyDescent="0.3">
      <c r="L7179" s="14"/>
    </row>
    <row r="7180" spans="12:12" x14ac:dyDescent="0.3">
      <c r="L7180" s="14"/>
    </row>
    <row r="7181" spans="12:12" x14ac:dyDescent="0.3">
      <c r="L7181" s="14"/>
    </row>
    <row r="7182" spans="12:12" x14ac:dyDescent="0.3">
      <c r="L7182" s="14"/>
    </row>
    <row r="7183" spans="12:12" x14ac:dyDescent="0.3">
      <c r="L7183" s="14"/>
    </row>
    <row r="7184" spans="12:12" x14ac:dyDescent="0.3">
      <c r="L7184" s="14"/>
    </row>
    <row r="7185" spans="12:12" x14ac:dyDescent="0.3">
      <c r="L7185" s="14"/>
    </row>
    <row r="7186" spans="12:12" x14ac:dyDescent="0.3">
      <c r="L7186" s="14"/>
    </row>
    <row r="7187" spans="12:12" x14ac:dyDescent="0.3">
      <c r="L7187" s="14"/>
    </row>
    <row r="7188" spans="12:12" x14ac:dyDescent="0.3">
      <c r="L7188" s="14"/>
    </row>
    <row r="7189" spans="12:12" x14ac:dyDescent="0.3">
      <c r="L7189" s="14"/>
    </row>
    <row r="7190" spans="12:12" x14ac:dyDescent="0.3">
      <c r="L7190" s="14"/>
    </row>
    <row r="7191" spans="12:12" x14ac:dyDescent="0.3">
      <c r="L7191" s="14"/>
    </row>
    <row r="7192" spans="12:12" x14ac:dyDescent="0.3">
      <c r="L7192" s="14"/>
    </row>
    <row r="7193" spans="12:12" x14ac:dyDescent="0.3">
      <c r="L7193" s="14"/>
    </row>
    <row r="7194" spans="12:12" x14ac:dyDescent="0.3">
      <c r="L7194" s="14"/>
    </row>
    <row r="7195" spans="12:12" x14ac:dyDescent="0.3">
      <c r="L7195" s="14"/>
    </row>
    <row r="7196" spans="12:12" x14ac:dyDescent="0.3">
      <c r="L7196" s="14"/>
    </row>
    <row r="7197" spans="12:12" x14ac:dyDescent="0.3">
      <c r="L7197" s="14"/>
    </row>
    <row r="7198" spans="12:12" x14ac:dyDescent="0.3">
      <c r="L7198" s="14"/>
    </row>
    <row r="7199" spans="12:12" x14ac:dyDescent="0.3">
      <c r="L7199" s="14"/>
    </row>
    <row r="7200" spans="12:12" x14ac:dyDescent="0.3">
      <c r="L7200" s="14"/>
    </row>
    <row r="7201" spans="12:12" x14ac:dyDescent="0.3">
      <c r="L7201" s="14"/>
    </row>
    <row r="7202" spans="12:12" x14ac:dyDescent="0.3">
      <c r="L7202" s="14"/>
    </row>
    <row r="7203" spans="12:12" x14ac:dyDescent="0.3">
      <c r="L7203" s="14"/>
    </row>
    <row r="7204" spans="12:12" x14ac:dyDescent="0.3">
      <c r="L7204" s="14"/>
    </row>
    <row r="7205" spans="12:12" x14ac:dyDescent="0.3">
      <c r="L7205" s="14"/>
    </row>
    <row r="7206" spans="12:12" x14ac:dyDescent="0.3">
      <c r="L7206" s="14"/>
    </row>
    <row r="7207" spans="12:12" x14ac:dyDescent="0.3">
      <c r="L7207" s="14"/>
    </row>
    <row r="7208" spans="12:12" x14ac:dyDescent="0.3">
      <c r="L7208" s="14"/>
    </row>
    <row r="7209" spans="12:12" x14ac:dyDescent="0.3">
      <c r="L7209" s="14"/>
    </row>
    <row r="7210" spans="12:12" x14ac:dyDescent="0.3">
      <c r="L7210" s="14"/>
    </row>
    <row r="7211" spans="12:12" x14ac:dyDescent="0.3">
      <c r="L7211" s="14"/>
    </row>
    <row r="7212" spans="12:12" x14ac:dyDescent="0.3">
      <c r="L7212" s="14"/>
    </row>
    <row r="7213" spans="12:12" x14ac:dyDescent="0.3">
      <c r="L7213" s="14"/>
    </row>
    <row r="7214" spans="12:12" x14ac:dyDescent="0.3">
      <c r="L7214" s="14"/>
    </row>
    <row r="7215" spans="12:12" x14ac:dyDescent="0.3">
      <c r="L7215" s="14"/>
    </row>
    <row r="7216" spans="12:12" x14ac:dyDescent="0.3">
      <c r="L7216" s="14"/>
    </row>
    <row r="7217" spans="12:12" x14ac:dyDescent="0.3">
      <c r="L7217" s="14"/>
    </row>
    <row r="7218" spans="12:12" x14ac:dyDescent="0.3">
      <c r="L7218" s="14"/>
    </row>
    <row r="7219" spans="12:12" x14ac:dyDescent="0.3">
      <c r="L7219" s="14"/>
    </row>
    <row r="7220" spans="12:12" x14ac:dyDescent="0.3">
      <c r="L7220" s="14"/>
    </row>
    <row r="7221" spans="12:12" x14ac:dyDescent="0.3">
      <c r="L7221" s="14"/>
    </row>
    <row r="7222" spans="12:12" x14ac:dyDescent="0.3">
      <c r="L7222" s="14"/>
    </row>
    <row r="7223" spans="12:12" x14ac:dyDescent="0.3">
      <c r="L7223" s="14"/>
    </row>
    <row r="7224" spans="12:12" x14ac:dyDescent="0.3">
      <c r="L7224" s="14"/>
    </row>
    <row r="7225" spans="12:12" x14ac:dyDescent="0.3">
      <c r="L7225" s="14"/>
    </row>
    <row r="7226" spans="12:12" x14ac:dyDescent="0.3">
      <c r="L7226" s="14"/>
    </row>
    <row r="7227" spans="12:12" x14ac:dyDescent="0.3">
      <c r="L7227" s="14"/>
    </row>
    <row r="7228" spans="12:12" x14ac:dyDescent="0.3">
      <c r="L7228" s="14"/>
    </row>
    <row r="7229" spans="12:12" x14ac:dyDescent="0.3">
      <c r="L7229" s="14"/>
    </row>
    <row r="7230" spans="12:12" x14ac:dyDescent="0.3">
      <c r="L7230" s="14"/>
    </row>
    <row r="7231" spans="12:12" x14ac:dyDescent="0.3">
      <c r="L7231" s="14"/>
    </row>
    <row r="7232" spans="12:12" x14ac:dyDescent="0.3">
      <c r="L7232" s="14"/>
    </row>
    <row r="7233" spans="12:12" x14ac:dyDescent="0.3">
      <c r="L7233" s="14"/>
    </row>
    <row r="7234" spans="12:12" x14ac:dyDescent="0.3">
      <c r="L7234" s="14"/>
    </row>
    <row r="7235" spans="12:12" x14ac:dyDescent="0.3">
      <c r="L7235" s="14"/>
    </row>
    <row r="7236" spans="12:12" x14ac:dyDescent="0.3">
      <c r="L7236" s="14"/>
    </row>
    <row r="7237" spans="12:12" x14ac:dyDescent="0.3">
      <c r="L7237" s="14"/>
    </row>
    <row r="7238" spans="12:12" x14ac:dyDescent="0.3">
      <c r="L7238" s="14"/>
    </row>
    <row r="7239" spans="12:12" x14ac:dyDescent="0.3">
      <c r="L7239" s="14"/>
    </row>
    <row r="7240" spans="12:12" x14ac:dyDescent="0.3">
      <c r="L7240" s="14"/>
    </row>
    <row r="7241" spans="12:12" x14ac:dyDescent="0.3">
      <c r="L7241" s="14"/>
    </row>
    <row r="7242" spans="12:12" x14ac:dyDescent="0.3">
      <c r="L7242" s="14"/>
    </row>
    <row r="7243" spans="12:12" x14ac:dyDescent="0.3">
      <c r="L7243" s="14"/>
    </row>
    <row r="7244" spans="12:12" x14ac:dyDescent="0.3">
      <c r="L7244" s="14"/>
    </row>
    <row r="7245" spans="12:12" x14ac:dyDescent="0.3">
      <c r="L7245" s="14"/>
    </row>
    <row r="7246" spans="12:12" x14ac:dyDescent="0.3">
      <c r="L7246" s="14"/>
    </row>
    <row r="7247" spans="12:12" x14ac:dyDescent="0.3">
      <c r="L7247" s="14"/>
    </row>
    <row r="7248" spans="12:12" x14ac:dyDescent="0.3">
      <c r="L7248" s="14"/>
    </row>
    <row r="7249" spans="12:12" x14ac:dyDescent="0.3">
      <c r="L7249" s="14"/>
    </row>
    <row r="7250" spans="12:12" x14ac:dyDescent="0.3">
      <c r="L7250" s="14"/>
    </row>
    <row r="7251" spans="12:12" x14ac:dyDescent="0.3">
      <c r="L7251" s="14"/>
    </row>
    <row r="7252" spans="12:12" x14ac:dyDescent="0.3">
      <c r="L7252" s="14"/>
    </row>
    <row r="7253" spans="12:12" x14ac:dyDescent="0.3">
      <c r="L7253" s="14"/>
    </row>
    <row r="7254" spans="12:12" x14ac:dyDescent="0.3">
      <c r="L7254" s="14"/>
    </row>
    <row r="7255" spans="12:12" x14ac:dyDescent="0.3">
      <c r="L7255" s="14"/>
    </row>
    <row r="7256" spans="12:12" x14ac:dyDescent="0.3">
      <c r="L7256" s="14"/>
    </row>
    <row r="7257" spans="12:12" x14ac:dyDescent="0.3">
      <c r="L7257" s="14"/>
    </row>
    <row r="7258" spans="12:12" x14ac:dyDescent="0.3">
      <c r="L7258" s="14"/>
    </row>
    <row r="7259" spans="12:12" x14ac:dyDescent="0.3">
      <c r="L7259" s="14"/>
    </row>
    <row r="7260" spans="12:12" x14ac:dyDescent="0.3">
      <c r="L7260" s="14"/>
    </row>
    <row r="7261" spans="12:12" x14ac:dyDescent="0.3">
      <c r="L7261" s="14"/>
    </row>
    <row r="7262" spans="12:12" x14ac:dyDescent="0.3">
      <c r="L7262" s="14"/>
    </row>
    <row r="7263" spans="12:12" x14ac:dyDescent="0.3">
      <c r="L7263" s="14"/>
    </row>
    <row r="7264" spans="12:12" x14ac:dyDescent="0.3">
      <c r="L7264" s="14"/>
    </row>
    <row r="7265" spans="12:12" x14ac:dyDescent="0.3">
      <c r="L7265" s="14"/>
    </row>
    <row r="7266" spans="12:12" x14ac:dyDescent="0.3">
      <c r="L7266" s="14"/>
    </row>
    <row r="7267" spans="12:12" x14ac:dyDescent="0.3">
      <c r="L7267" s="14"/>
    </row>
    <row r="7268" spans="12:12" x14ac:dyDescent="0.3">
      <c r="L7268" s="14"/>
    </row>
    <row r="7269" spans="12:12" x14ac:dyDescent="0.3">
      <c r="L7269" s="14"/>
    </row>
    <row r="7270" spans="12:12" x14ac:dyDescent="0.3">
      <c r="L7270" s="14"/>
    </row>
    <row r="7271" spans="12:12" x14ac:dyDescent="0.3">
      <c r="L7271" s="14"/>
    </row>
    <row r="7272" spans="12:12" x14ac:dyDescent="0.3">
      <c r="L7272" s="14"/>
    </row>
    <row r="7273" spans="12:12" x14ac:dyDescent="0.3">
      <c r="L7273" s="14"/>
    </row>
    <row r="7274" spans="12:12" x14ac:dyDescent="0.3">
      <c r="L7274" s="14"/>
    </row>
    <row r="7275" spans="12:12" x14ac:dyDescent="0.3">
      <c r="L7275" s="14"/>
    </row>
    <row r="7276" spans="12:12" x14ac:dyDescent="0.3">
      <c r="L7276" s="14"/>
    </row>
    <row r="7277" spans="12:12" x14ac:dyDescent="0.3">
      <c r="L7277" s="14"/>
    </row>
    <row r="7278" spans="12:12" x14ac:dyDescent="0.3">
      <c r="L7278" s="14"/>
    </row>
    <row r="7279" spans="12:12" x14ac:dyDescent="0.3">
      <c r="L7279" s="14"/>
    </row>
    <row r="7280" spans="12:12" x14ac:dyDescent="0.3">
      <c r="L7280" s="14"/>
    </row>
    <row r="7281" spans="12:12" x14ac:dyDescent="0.3">
      <c r="L7281" s="14"/>
    </row>
    <row r="7282" spans="12:12" x14ac:dyDescent="0.3">
      <c r="L7282" s="14"/>
    </row>
    <row r="7283" spans="12:12" x14ac:dyDescent="0.3">
      <c r="L7283" s="14"/>
    </row>
    <row r="7284" spans="12:12" x14ac:dyDescent="0.3">
      <c r="L7284" s="14"/>
    </row>
    <row r="7285" spans="12:12" x14ac:dyDescent="0.3">
      <c r="L7285" s="14"/>
    </row>
    <row r="7286" spans="12:12" x14ac:dyDescent="0.3">
      <c r="L7286" s="14"/>
    </row>
    <row r="7287" spans="12:12" x14ac:dyDescent="0.3">
      <c r="L7287" s="14"/>
    </row>
    <row r="7288" spans="12:12" x14ac:dyDescent="0.3">
      <c r="L7288" s="14"/>
    </row>
    <row r="7289" spans="12:12" x14ac:dyDescent="0.3">
      <c r="L7289" s="14"/>
    </row>
    <row r="7290" spans="12:12" x14ac:dyDescent="0.3">
      <c r="L7290" s="14"/>
    </row>
    <row r="7291" spans="12:12" x14ac:dyDescent="0.3">
      <c r="L7291" s="14"/>
    </row>
    <row r="7292" spans="12:12" x14ac:dyDescent="0.3">
      <c r="L7292" s="14"/>
    </row>
    <row r="7293" spans="12:12" x14ac:dyDescent="0.3">
      <c r="L7293" s="14"/>
    </row>
    <row r="7294" spans="12:12" x14ac:dyDescent="0.3">
      <c r="L7294" s="14"/>
    </row>
    <row r="7295" spans="12:12" x14ac:dyDescent="0.3">
      <c r="L7295" s="14"/>
    </row>
    <row r="7296" spans="12:12" x14ac:dyDescent="0.3">
      <c r="L7296" s="14"/>
    </row>
    <row r="7297" spans="12:12" x14ac:dyDescent="0.3">
      <c r="L7297" s="14"/>
    </row>
    <row r="7298" spans="12:12" x14ac:dyDescent="0.3">
      <c r="L7298" s="14"/>
    </row>
    <row r="7299" spans="12:12" x14ac:dyDescent="0.3">
      <c r="L7299" s="14"/>
    </row>
    <row r="7300" spans="12:12" x14ac:dyDescent="0.3">
      <c r="L7300" s="14"/>
    </row>
    <row r="7301" spans="12:12" x14ac:dyDescent="0.3">
      <c r="L7301" s="14"/>
    </row>
    <row r="7302" spans="12:12" x14ac:dyDescent="0.3">
      <c r="L7302" s="14"/>
    </row>
    <row r="7303" spans="12:12" x14ac:dyDescent="0.3">
      <c r="L7303" s="14"/>
    </row>
    <row r="7304" spans="12:12" x14ac:dyDescent="0.3">
      <c r="L7304" s="14"/>
    </row>
    <row r="7305" spans="12:12" x14ac:dyDescent="0.3">
      <c r="L7305" s="14"/>
    </row>
    <row r="7306" spans="12:12" x14ac:dyDescent="0.3">
      <c r="L7306" s="14"/>
    </row>
    <row r="7307" spans="12:12" x14ac:dyDescent="0.3">
      <c r="L7307" s="14"/>
    </row>
    <row r="7308" spans="12:12" x14ac:dyDescent="0.3">
      <c r="L7308" s="14"/>
    </row>
    <row r="7309" spans="12:12" x14ac:dyDescent="0.3">
      <c r="L7309" s="14"/>
    </row>
    <row r="7310" spans="12:12" x14ac:dyDescent="0.3">
      <c r="L7310" s="14"/>
    </row>
    <row r="7311" spans="12:12" x14ac:dyDescent="0.3">
      <c r="L7311" s="14"/>
    </row>
    <row r="7312" spans="12:12" x14ac:dyDescent="0.3">
      <c r="L7312" s="14"/>
    </row>
    <row r="7313" spans="12:12" x14ac:dyDescent="0.3">
      <c r="L7313" s="14"/>
    </row>
    <row r="7314" spans="12:12" x14ac:dyDescent="0.3">
      <c r="L7314" s="14"/>
    </row>
    <row r="7315" spans="12:12" x14ac:dyDescent="0.3">
      <c r="L7315" s="14"/>
    </row>
    <row r="7316" spans="12:12" x14ac:dyDescent="0.3">
      <c r="L7316" s="14"/>
    </row>
    <row r="7317" spans="12:12" x14ac:dyDescent="0.3">
      <c r="L7317" s="14"/>
    </row>
    <row r="7318" spans="12:12" x14ac:dyDescent="0.3">
      <c r="L7318" s="14"/>
    </row>
    <row r="7319" spans="12:12" x14ac:dyDescent="0.3">
      <c r="L7319" s="14"/>
    </row>
    <row r="7320" spans="12:12" x14ac:dyDescent="0.3">
      <c r="L7320" s="14"/>
    </row>
    <row r="7321" spans="12:12" x14ac:dyDescent="0.3">
      <c r="L7321" s="14"/>
    </row>
    <row r="7322" spans="12:12" x14ac:dyDescent="0.3">
      <c r="L7322" s="14"/>
    </row>
    <row r="7323" spans="12:12" x14ac:dyDescent="0.3">
      <c r="L7323" s="14"/>
    </row>
    <row r="7324" spans="12:12" x14ac:dyDescent="0.3">
      <c r="L7324" s="14"/>
    </row>
    <row r="7325" spans="12:12" x14ac:dyDescent="0.3">
      <c r="L7325" s="14"/>
    </row>
    <row r="7326" spans="12:12" x14ac:dyDescent="0.3">
      <c r="L7326" s="14"/>
    </row>
    <row r="7327" spans="12:12" x14ac:dyDescent="0.3">
      <c r="L7327" s="14"/>
    </row>
    <row r="7328" spans="12:12" x14ac:dyDescent="0.3">
      <c r="L7328" s="14"/>
    </row>
    <row r="7329" spans="12:12" x14ac:dyDescent="0.3">
      <c r="L7329" s="14"/>
    </row>
    <row r="7330" spans="12:12" x14ac:dyDescent="0.3">
      <c r="L7330" s="14"/>
    </row>
    <row r="7331" spans="12:12" x14ac:dyDescent="0.3">
      <c r="L7331" s="14"/>
    </row>
    <row r="7332" spans="12:12" x14ac:dyDescent="0.3">
      <c r="L7332" s="14"/>
    </row>
    <row r="7333" spans="12:12" x14ac:dyDescent="0.3">
      <c r="L7333" s="14"/>
    </row>
    <row r="7334" spans="12:12" x14ac:dyDescent="0.3">
      <c r="L7334" s="14"/>
    </row>
    <row r="7335" spans="12:12" x14ac:dyDescent="0.3">
      <c r="L7335" s="14"/>
    </row>
    <row r="7336" spans="12:12" x14ac:dyDescent="0.3">
      <c r="L7336" s="14"/>
    </row>
    <row r="7337" spans="12:12" x14ac:dyDescent="0.3">
      <c r="L7337" s="14"/>
    </row>
    <row r="7338" spans="12:12" x14ac:dyDescent="0.3">
      <c r="L7338" s="14"/>
    </row>
    <row r="7339" spans="12:12" x14ac:dyDescent="0.3">
      <c r="L7339" s="14"/>
    </row>
    <row r="7340" spans="12:12" x14ac:dyDescent="0.3">
      <c r="L7340" s="14"/>
    </row>
    <row r="7341" spans="12:12" x14ac:dyDescent="0.3">
      <c r="L7341" s="14"/>
    </row>
    <row r="7342" spans="12:12" x14ac:dyDescent="0.3">
      <c r="L7342" s="14"/>
    </row>
    <row r="7343" spans="12:12" x14ac:dyDescent="0.3">
      <c r="L7343" s="14"/>
    </row>
    <row r="7344" spans="12:12" x14ac:dyDescent="0.3">
      <c r="L7344" s="14"/>
    </row>
    <row r="7345" spans="12:12" x14ac:dyDescent="0.3">
      <c r="L7345" s="14"/>
    </row>
    <row r="7346" spans="12:12" x14ac:dyDescent="0.3">
      <c r="L7346" s="14"/>
    </row>
    <row r="7347" spans="12:12" x14ac:dyDescent="0.3">
      <c r="L7347" s="14"/>
    </row>
    <row r="7348" spans="12:12" x14ac:dyDescent="0.3">
      <c r="L7348" s="14"/>
    </row>
    <row r="7349" spans="12:12" x14ac:dyDescent="0.3">
      <c r="L7349" s="14"/>
    </row>
    <row r="7350" spans="12:12" x14ac:dyDescent="0.3">
      <c r="L7350" s="14"/>
    </row>
    <row r="7351" spans="12:12" x14ac:dyDescent="0.3">
      <c r="L7351" s="14"/>
    </row>
    <row r="7352" spans="12:12" x14ac:dyDescent="0.3">
      <c r="L7352" s="14"/>
    </row>
    <row r="7353" spans="12:12" x14ac:dyDescent="0.3">
      <c r="L7353" s="14"/>
    </row>
    <row r="7354" spans="12:12" x14ac:dyDescent="0.3">
      <c r="L7354" s="14"/>
    </row>
    <row r="7355" spans="12:12" x14ac:dyDescent="0.3">
      <c r="L7355" s="14"/>
    </row>
    <row r="7356" spans="12:12" x14ac:dyDescent="0.3">
      <c r="L7356" s="14"/>
    </row>
    <row r="7357" spans="12:12" x14ac:dyDescent="0.3">
      <c r="L7357" s="14"/>
    </row>
    <row r="7358" spans="12:12" x14ac:dyDescent="0.3">
      <c r="L7358" s="14"/>
    </row>
    <row r="7359" spans="12:12" x14ac:dyDescent="0.3">
      <c r="L7359" s="14"/>
    </row>
    <row r="7360" spans="12:12" x14ac:dyDescent="0.3">
      <c r="L7360" s="14"/>
    </row>
    <row r="7361" spans="12:12" x14ac:dyDescent="0.3">
      <c r="L7361" s="14"/>
    </row>
    <row r="7362" spans="12:12" x14ac:dyDescent="0.3">
      <c r="L7362" s="14"/>
    </row>
    <row r="7363" spans="12:12" x14ac:dyDescent="0.3">
      <c r="L7363" s="14"/>
    </row>
    <row r="7364" spans="12:12" x14ac:dyDescent="0.3">
      <c r="L7364" s="14"/>
    </row>
    <row r="7365" spans="12:12" x14ac:dyDescent="0.3">
      <c r="L7365" s="14"/>
    </row>
    <row r="7366" spans="12:12" x14ac:dyDescent="0.3">
      <c r="L7366" s="14"/>
    </row>
    <row r="7367" spans="12:12" x14ac:dyDescent="0.3">
      <c r="L7367" s="14"/>
    </row>
    <row r="7368" spans="12:12" x14ac:dyDescent="0.3">
      <c r="L7368" s="14"/>
    </row>
    <row r="7369" spans="12:12" x14ac:dyDescent="0.3">
      <c r="L7369" s="14"/>
    </row>
    <row r="7370" spans="12:12" x14ac:dyDescent="0.3">
      <c r="L7370" s="14"/>
    </row>
    <row r="7371" spans="12:12" x14ac:dyDescent="0.3">
      <c r="L7371" s="14"/>
    </row>
    <row r="7372" spans="12:12" x14ac:dyDescent="0.3">
      <c r="L7372" s="14"/>
    </row>
    <row r="7373" spans="12:12" x14ac:dyDescent="0.3">
      <c r="L7373" s="14"/>
    </row>
    <row r="7374" spans="12:12" x14ac:dyDescent="0.3">
      <c r="L7374" s="14"/>
    </row>
    <row r="7375" spans="12:12" x14ac:dyDescent="0.3">
      <c r="L7375" s="14"/>
    </row>
    <row r="7376" spans="12:12" x14ac:dyDescent="0.3">
      <c r="L7376" s="14"/>
    </row>
    <row r="7377" spans="12:12" x14ac:dyDescent="0.3">
      <c r="L7377" s="14"/>
    </row>
    <row r="7378" spans="12:12" x14ac:dyDescent="0.3">
      <c r="L7378" s="14"/>
    </row>
    <row r="7379" spans="12:12" x14ac:dyDescent="0.3">
      <c r="L7379" s="14"/>
    </row>
    <row r="7380" spans="12:12" x14ac:dyDescent="0.3">
      <c r="L7380" s="14"/>
    </row>
    <row r="7381" spans="12:12" x14ac:dyDescent="0.3">
      <c r="L7381" s="14"/>
    </row>
    <row r="7382" spans="12:12" x14ac:dyDescent="0.3">
      <c r="L7382" s="14"/>
    </row>
    <row r="7383" spans="12:12" x14ac:dyDescent="0.3">
      <c r="L7383" s="14"/>
    </row>
    <row r="7384" spans="12:12" x14ac:dyDescent="0.3">
      <c r="L7384" s="14"/>
    </row>
    <row r="7385" spans="12:12" x14ac:dyDescent="0.3">
      <c r="L7385" s="14"/>
    </row>
    <row r="7386" spans="12:12" x14ac:dyDescent="0.3">
      <c r="L7386" s="14"/>
    </row>
    <row r="7387" spans="12:12" x14ac:dyDescent="0.3">
      <c r="L7387" s="14"/>
    </row>
    <row r="7388" spans="12:12" x14ac:dyDescent="0.3">
      <c r="L7388" s="14"/>
    </row>
    <row r="7389" spans="12:12" x14ac:dyDescent="0.3">
      <c r="L7389" s="14"/>
    </row>
    <row r="7390" spans="12:12" x14ac:dyDescent="0.3">
      <c r="L7390" s="14"/>
    </row>
    <row r="7391" spans="12:12" x14ac:dyDescent="0.3">
      <c r="L7391" s="14"/>
    </row>
    <row r="7392" spans="12:12" x14ac:dyDescent="0.3">
      <c r="L7392" s="14"/>
    </row>
    <row r="7393" spans="12:12" x14ac:dyDescent="0.3">
      <c r="L7393" s="14"/>
    </row>
    <row r="7394" spans="12:12" x14ac:dyDescent="0.3">
      <c r="L7394" s="14"/>
    </row>
    <row r="7395" spans="12:12" x14ac:dyDescent="0.3">
      <c r="L7395" s="14"/>
    </row>
    <row r="7396" spans="12:12" x14ac:dyDescent="0.3">
      <c r="L7396" s="14"/>
    </row>
    <row r="7397" spans="12:12" x14ac:dyDescent="0.3">
      <c r="L7397" s="14"/>
    </row>
    <row r="7398" spans="12:12" x14ac:dyDescent="0.3">
      <c r="L7398" s="14"/>
    </row>
    <row r="7399" spans="12:12" x14ac:dyDescent="0.3">
      <c r="L7399" s="14"/>
    </row>
    <row r="7400" spans="12:12" x14ac:dyDescent="0.3">
      <c r="L7400" s="14"/>
    </row>
    <row r="7401" spans="12:12" x14ac:dyDescent="0.3">
      <c r="L7401" s="14"/>
    </row>
    <row r="7402" spans="12:12" x14ac:dyDescent="0.3">
      <c r="L7402" s="14"/>
    </row>
    <row r="7403" spans="12:12" x14ac:dyDescent="0.3">
      <c r="L7403" s="14"/>
    </row>
    <row r="7404" spans="12:12" x14ac:dyDescent="0.3">
      <c r="L7404" s="14"/>
    </row>
    <row r="7405" spans="12:12" x14ac:dyDescent="0.3">
      <c r="L7405" s="14"/>
    </row>
    <row r="7406" spans="12:12" x14ac:dyDescent="0.3">
      <c r="L7406" s="14"/>
    </row>
    <row r="7407" spans="12:12" x14ac:dyDescent="0.3">
      <c r="L7407" s="14"/>
    </row>
    <row r="7408" spans="12:12" x14ac:dyDescent="0.3">
      <c r="L7408" s="14"/>
    </row>
    <row r="7409" spans="12:12" x14ac:dyDescent="0.3">
      <c r="L7409" s="14"/>
    </row>
    <row r="7410" spans="12:12" x14ac:dyDescent="0.3">
      <c r="L7410" s="14"/>
    </row>
    <row r="7411" spans="12:12" x14ac:dyDescent="0.3">
      <c r="L7411" s="14"/>
    </row>
    <row r="7412" spans="12:12" x14ac:dyDescent="0.3">
      <c r="L7412" s="14"/>
    </row>
    <row r="7413" spans="12:12" x14ac:dyDescent="0.3">
      <c r="L7413" s="14"/>
    </row>
    <row r="7414" spans="12:12" x14ac:dyDescent="0.3">
      <c r="L7414" s="14"/>
    </row>
    <row r="7415" spans="12:12" x14ac:dyDescent="0.3">
      <c r="L7415" s="14"/>
    </row>
    <row r="7416" spans="12:12" x14ac:dyDescent="0.3">
      <c r="L7416" s="14"/>
    </row>
    <row r="7417" spans="12:12" x14ac:dyDescent="0.3">
      <c r="L7417" s="14"/>
    </row>
    <row r="7418" spans="12:12" x14ac:dyDescent="0.3">
      <c r="L7418" s="14"/>
    </row>
    <row r="7419" spans="12:12" x14ac:dyDescent="0.3">
      <c r="L7419" s="14"/>
    </row>
    <row r="7420" spans="12:12" x14ac:dyDescent="0.3">
      <c r="L7420" s="14"/>
    </row>
    <row r="7421" spans="12:12" x14ac:dyDescent="0.3">
      <c r="L7421" s="14"/>
    </row>
    <row r="7422" spans="12:12" x14ac:dyDescent="0.3">
      <c r="L7422" s="14"/>
    </row>
    <row r="7423" spans="12:12" x14ac:dyDescent="0.3">
      <c r="L7423" s="14"/>
    </row>
    <row r="7424" spans="12:12" x14ac:dyDescent="0.3">
      <c r="L7424" s="14"/>
    </row>
    <row r="7425" spans="12:12" x14ac:dyDescent="0.3">
      <c r="L7425" s="14"/>
    </row>
    <row r="7426" spans="12:12" x14ac:dyDescent="0.3">
      <c r="L7426" s="14"/>
    </row>
    <row r="7427" spans="12:12" x14ac:dyDescent="0.3">
      <c r="L7427" s="14"/>
    </row>
    <row r="7428" spans="12:12" x14ac:dyDescent="0.3">
      <c r="L7428" s="14"/>
    </row>
    <row r="7429" spans="12:12" x14ac:dyDescent="0.3">
      <c r="L7429" s="14"/>
    </row>
    <row r="7430" spans="12:12" x14ac:dyDescent="0.3">
      <c r="L7430" s="14"/>
    </row>
    <row r="7431" spans="12:12" x14ac:dyDescent="0.3">
      <c r="L7431" s="14"/>
    </row>
    <row r="7432" spans="12:12" x14ac:dyDescent="0.3">
      <c r="L7432" s="14"/>
    </row>
    <row r="7433" spans="12:12" x14ac:dyDescent="0.3">
      <c r="L7433" s="14"/>
    </row>
    <row r="7434" spans="12:12" x14ac:dyDescent="0.3">
      <c r="L7434" s="14"/>
    </row>
    <row r="7435" spans="12:12" x14ac:dyDescent="0.3">
      <c r="L7435" s="14"/>
    </row>
    <row r="7436" spans="12:12" x14ac:dyDescent="0.3">
      <c r="L7436" s="14"/>
    </row>
    <row r="7437" spans="12:12" x14ac:dyDescent="0.3">
      <c r="L7437" s="14"/>
    </row>
    <row r="7438" spans="12:12" x14ac:dyDescent="0.3">
      <c r="L7438" s="14"/>
    </row>
    <row r="7439" spans="12:12" x14ac:dyDescent="0.3">
      <c r="L7439" s="14"/>
    </row>
    <row r="7440" spans="12:12" x14ac:dyDescent="0.3">
      <c r="L7440" s="14"/>
    </row>
    <row r="7441" spans="12:12" x14ac:dyDescent="0.3">
      <c r="L7441" s="14"/>
    </row>
    <row r="7442" spans="12:12" x14ac:dyDescent="0.3">
      <c r="L7442" s="14"/>
    </row>
    <row r="7443" spans="12:12" x14ac:dyDescent="0.3">
      <c r="L7443" s="14"/>
    </row>
    <row r="7444" spans="12:12" x14ac:dyDescent="0.3">
      <c r="L7444" s="14"/>
    </row>
    <row r="7445" spans="12:12" x14ac:dyDescent="0.3">
      <c r="L7445" s="14"/>
    </row>
    <row r="7446" spans="12:12" x14ac:dyDescent="0.3">
      <c r="L7446" s="14"/>
    </row>
    <row r="7447" spans="12:12" x14ac:dyDescent="0.3">
      <c r="L7447" s="14"/>
    </row>
    <row r="7448" spans="12:12" x14ac:dyDescent="0.3">
      <c r="L7448" s="14"/>
    </row>
    <row r="7449" spans="12:12" x14ac:dyDescent="0.3">
      <c r="L7449" s="14"/>
    </row>
    <row r="7450" spans="12:12" x14ac:dyDescent="0.3">
      <c r="L7450" s="14"/>
    </row>
    <row r="7451" spans="12:12" x14ac:dyDescent="0.3">
      <c r="L7451" s="14"/>
    </row>
    <row r="7452" spans="12:12" x14ac:dyDescent="0.3">
      <c r="L7452" s="14"/>
    </row>
    <row r="7453" spans="12:12" x14ac:dyDescent="0.3">
      <c r="L7453" s="14"/>
    </row>
    <row r="7454" spans="12:12" x14ac:dyDescent="0.3">
      <c r="L7454" s="14"/>
    </row>
    <row r="7455" spans="12:12" x14ac:dyDescent="0.3">
      <c r="L7455" s="14"/>
    </row>
    <row r="7456" spans="12:12" x14ac:dyDescent="0.3">
      <c r="L7456" s="14"/>
    </row>
    <row r="7457" spans="12:12" x14ac:dyDescent="0.3">
      <c r="L7457" s="14"/>
    </row>
    <row r="7458" spans="12:12" x14ac:dyDescent="0.3">
      <c r="L7458" s="14"/>
    </row>
    <row r="7459" spans="12:12" x14ac:dyDescent="0.3">
      <c r="L7459" s="14"/>
    </row>
    <row r="7460" spans="12:12" x14ac:dyDescent="0.3">
      <c r="L7460" s="14"/>
    </row>
    <row r="7461" spans="12:12" x14ac:dyDescent="0.3">
      <c r="L7461" s="14"/>
    </row>
    <row r="7462" spans="12:12" x14ac:dyDescent="0.3">
      <c r="L7462" s="14"/>
    </row>
    <row r="7463" spans="12:12" x14ac:dyDescent="0.3">
      <c r="L7463" s="14"/>
    </row>
    <row r="7464" spans="12:12" x14ac:dyDescent="0.3">
      <c r="L7464" s="14"/>
    </row>
    <row r="7465" spans="12:12" x14ac:dyDescent="0.3">
      <c r="L7465" s="14"/>
    </row>
    <row r="7466" spans="12:12" x14ac:dyDescent="0.3">
      <c r="L7466" s="14"/>
    </row>
    <row r="7467" spans="12:12" x14ac:dyDescent="0.3">
      <c r="L7467" s="14"/>
    </row>
    <row r="7468" spans="12:12" x14ac:dyDescent="0.3">
      <c r="L7468" s="14"/>
    </row>
    <row r="7469" spans="12:12" x14ac:dyDescent="0.3">
      <c r="L7469" s="14"/>
    </row>
    <row r="7470" spans="12:12" x14ac:dyDescent="0.3">
      <c r="L7470" s="14"/>
    </row>
    <row r="7471" spans="12:12" x14ac:dyDescent="0.3">
      <c r="L7471" s="14"/>
    </row>
    <row r="7472" spans="12:12" x14ac:dyDescent="0.3">
      <c r="L7472" s="14"/>
    </row>
    <row r="7473" spans="12:12" x14ac:dyDescent="0.3">
      <c r="L7473" s="14"/>
    </row>
    <row r="7474" spans="12:12" x14ac:dyDescent="0.3">
      <c r="L7474" s="14"/>
    </row>
    <row r="7475" spans="12:12" x14ac:dyDescent="0.3">
      <c r="L7475" s="14"/>
    </row>
    <row r="7476" spans="12:12" x14ac:dyDescent="0.3">
      <c r="L7476" s="14"/>
    </row>
    <row r="7477" spans="12:12" x14ac:dyDescent="0.3">
      <c r="L7477" s="14"/>
    </row>
    <row r="7478" spans="12:12" x14ac:dyDescent="0.3">
      <c r="L7478" s="14"/>
    </row>
    <row r="7479" spans="12:12" x14ac:dyDescent="0.3">
      <c r="L7479" s="14"/>
    </row>
    <row r="7480" spans="12:12" x14ac:dyDescent="0.3">
      <c r="L7480" s="14"/>
    </row>
    <row r="7481" spans="12:12" x14ac:dyDescent="0.3">
      <c r="L7481" s="14"/>
    </row>
    <row r="7482" spans="12:12" x14ac:dyDescent="0.3">
      <c r="L7482" s="14"/>
    </row>
    <row r="7483" spans="12:12" x14ac:dyDescent="0.3">
      <c r="L7483" s="14"/>
    </row>
    <row r="7484" spans="12:12" x14ac:dyDescent="0.3">
      <c r="L7484" s="14"/>
    </row>
    <row r="7485" spans="12:12" x14ac:dyDescent="0.3">
      <c r="L7485" s="14"/>
    </row>
    <row r="7486" spans="12:12" x14ac:dyDescent="0.3">
      <c r="L7486" s="14"/>
    </row>
    <row r="7487" spans="12:12" x14ac:dyDescent="0.3">
      <c r="L7487" s="14"/>
    </row>
    <row r="7488" spans="12:12" x14ac:dyDescent="0.3">
      <c r="L7488" s="14"/>
    </row>
    <row r="7489" spans="12:12" x14ac:dyDescent="0.3">
      <c r="L7489" s="14"/>
    </row>
    <row r="7490" spans="12:12" x14ac:dyDescent="0.3">
      <c r="L7490" s="14"/>
    </row>
    <row r="7491" spans="12:12" x14ac:dyDescent="0.3">
      <c r="L7491" s="14"/>
    </row>
    <row r="7492" spans="12:12" x14ac:dyDescent="0.3">
      <c r="L7492" s="14"/>
    </row>
    <row r="7493" spans="12:12" x14ac:dyDescent="0.3">
      <c r="L7493" s="14"/>
    </row>
    <row r="7494" spans="12:12" x14ac:dyDescent="0.3">
      <c r="L7494" s="14"/>
    </row>
    <row r="7495" spans="12:12" x14ac:dyDescent="0.3">
      <c r="L7495" s="14"/>
    </row>
    <row r="7496" spans="12:12" x14ac:dyDescent="0.3">
      <c r="L7496" s="14"/>
    </row>
    <row r="7497" spans="12:12" x14ac:dyDescent="0.3">
      <c r="L7497" s="14"/>
    </row>
    <row r="7498" spans="12:12" x14ac:dyDescent="0.3">
      <c r="L7498" s="14"/>
    </row>
    <row r="7499" spans="12:12" x14ac:dyDescent="0.3">
      <c r="L7499" s="14"/>
    </row>
    <row r="7500" spans="12:12" x14ac:dyDescent="0.3">
      <c r="L7500" s="14"/>
    </row>
    <row r="7501" spans="12:12" x14ac:dyDescent="0.3">
      <c r="L7501" s="14"/>
    </row>
    <row r="7502" spans="12:12" x14ac:dyDescent="0.3">
      <c r="L7502" s="14"/>
    </row>
    <row r="7503" spans="12:12" x14ac:dyDescent="0.3">
      <c r="L7503" s="14"/>
    </row>
    <row r="7504" spans="12:12" x14ac:dyDescent="0.3">
      <c r="L7504" s="14"/>
    </row>
    <row r="7505" spans="12:12" x14ac:dyDescent="0.3">
      <c r="L7505" s="14"/>
    </row>
    <row r="7506" spans="12:12" x14ac:dyDescent="0.3">
      <c r="L7506" s="14"/>
    </row>
    <row r="7507" spans="12:12" x14ac:dyDescent="0.3">
      <c r="L7507" s="14"/>
    </row>
    <row r="7508" spans="12:12" x14ac:dyDescent="0.3">
      <c r="L7508" s="14"/>
    </row>
    <row r="7509" spans="12:12" x14ac:dyDescent="0.3">
      <c r="L7509" s="14"/>
    </row>
    <row r="7510" spans="12:12" x14ac:dyDescent="0.3">
      <c r="L7510" s="14"/>
    </row>
    <row r="7511" spans="12:12" x14ac:dyDescent="0.3">
      <c r="L7511" s="14"/>
    </row>
    <row r="7512" spans="12:12" x14ac:dyDescent="0.3">
      <c r="L7512" s="14"/>
    </row>
    <row r="7513" spans="12:12" x14ac:dyDescent="0.3">
      <c r="L7513" s="14"/>
    </row>
    <row r="7514" spans="12:12" x14ac:dyDescent="0.3">
      <c r="L7514" s="14"/>
    </row>
    <row r="7515" spans="12:12" x14ac:dyDescent="0.3">
      <c r="L7515" s="14"/>
    </row>
    <row r="7516" spans="12:12" x14ac:dyDescent="0.3">
      <c r="L7516" s="14"/>
    </row>
    <row r="7517" spans="12:12" x14ac:dyDescent="0.3">
      <c r="L7517" s="14"/>
    </row>
    <row r="7518" spans="12:12" x14ac:dyDescent="0.3">
      <c r="L7518" s="14"/>
    </row>
    <row r="7519" spans="12:12" x14ac:dyDescent="0.3">
      <c r="L7519" s="14"/>
    </row>
    <row r="7520" spans="12:12" x14ac:dyDescent="0.3">
      <c r="L7520" s="14"/>
    </row>
    <row r="7521" spans="12:12" x14ac:dyDescent="0.3">
      <c r="L7521" s="14"/>
    </row>
    <row r="7522" spans="12:12" x14ac:dyDescent="0.3">
      <c r="L7522" s="14"/>
    </row>
    <row r="7523" spans="12:12" x14ac:dyDescent="0.3">
      <c r="L7523" s="14"/>
    </row>
    <row r="7524" spans="12:12" x14ac:dyDescent="0.3">
      <c r="L7524" s="14"/>
    </row>
    <row r="7525" spans="12:12" x14ac:dyDescent="0.3">
      <c r="L7525" s="14"/>
    </row>
    <row r="7526" spans="12:12" x14ac:dyDescent="0.3">
      <c r="L7526" s="14"/>
    </row>
    <row r="7527" spans="12:12" x14ac:dyDescent="0.3">
      <c r="L7527" s="14"/>
    </row>
    <row r="7528" spans="12:12" x14ac:dyDescent="0.3">
      <c r="L7528" s="14"/>
    </row>
    <row r="7529" spans="12:12" x14ac:dyDescent="0.3">
      <c r="L7529" s="14"/>
    </row>
    <row r="7530" spans="12:12" x14ac:dyDescent="0.3">
      <c r="L7530" s="14"/>
    </row>
    <row r="7531" spans="12:12" x14ac:dyDescent="0.3">
      <c r="L7531" s="14"/>
    </row>
    <row r="7532" spans="12:12" x14ac:dyDescent="0.3">
      <c r="L7532" s="14"/>
    </row>
    <row r="7533" spans="12:12" x14ac:dyDescent="0.3">
      <c r="L7533" s="14"/>
    </row>
    <row r="7534" spans="12:12" x14ac:dyDescent="0.3">
      <c r="L7534" s="14"/>
    </row>
    <row r="7535" spans="12:12" x14ac:dyDescent="0.3">
      <c r="L7535" s="14"/>
    </row>
    <row r="7536" spans="12:12" x14ac:dyDescent="0.3">
      <c r="L7536" s="14"/>
    </row>
    <row r="7537" spans="12:12" x14ac:dyDescent="0.3">
      <c r="L7537" s="14"/>
    </row>
    <row r="7538" spans="12:12" x14ac:dyDescent="0.3">
      <c r="L7538" s="14"/>
    </row>
    <row r="7539" spans="12:12" x14ac:dyDescent="0.3">
      <c r="L7539" s="14"/>
    </row>
    <row r="7540" spans="12:12" x14ac:dyDescent="0.3">
      <c r="L7540" s="14"/>
    </row>
    <row r="7541" spans="12:12" x14ac:dyDescent="0.3">
      <c r="L7541" s="14"/>
    </row>
    <row r="7542" spans="12:12" x14ac:dyDescent="0.3">
      <c r="L7542" s="14"/>
    </row>
    <row r="7543" spans="12:12" x14ac:dyDescent="0.3">
      <c r="L7543" s="14"/>
    </row>
    <row r="7544" spans="12:12" x14ac:dyDescent="0.3">
      <c r="L7544" s="14"/>
    </row>
    <row r="7545" spans="12:12" x14ac:dyDescent="0.3">
      <c r="L7545" s="14"/>
    </row>
    <row r="7546" spans="12:12" x14ac:dyDescent="0.3">
      <c r="L7546" s="14"/>
    </row>
    <row r="7547" spans="12:12" x14ac:dyDescent="0.3">
      <c r="L7547" s="14"/>
    </row>
    <row r="7548" spans="12:12" x14ac:dyDescent="0.3">
      <c r="L7548" s="14"/>
    </row>
    <row r="7549" spans="12:12" x14ac:dyDescent="0.3">
      <c r="L7549" s="14"/>
    </row>
    <row r="7550" spans="12:12" x14ac:dyDescent="0.3">
      <c r="L7550" s="14"/>
    </row>
    <row r="7551" spans="12:12" x14ac:dyDescent="0.3">
      <c r="L7551" s="14"/>
    </row>
    <row r="7552" spans="12:12" x14ac:dyDescent="0.3">
      <c r="L7552" s="14"/>
    </row>
    <row r="7553" spans="12:12" x14ac:dyDescent="0.3">
      <c r="L7553" s="14"/>
    </row>
    <row r="7554" spans="12:12" x14ac:dyDescent="0.3">
      <c r="L7554" s="14"/>
    </row>
    <row r="7555" spans="12:12" x14ac:dyDescent="0.3">
      <c r="L7555" s="14"/>
    </row>
    <row r="7556" spans="12:12" x14ac:dyDescent="0.3">
      <c r="L7556" s="14"/>
    </row>
    <row r="7557" spans="12:12" x14ac:dyDescent="0.3">
      <c r="L7557" s="14"/>
    </row>
    <row r="7558" spans="12:12" x14ac:dyDescent="0.3">
      <c r="L7558" s="14"/>
    </row>
    <row r="7559" spans="12:12" x14ac:dyDescent="0.3">
      <c r="L7559" s="14"/>
    </row>
    <row r="7560" spans="12:12" x14ac:dyDescent="0.3">
      <c r="L7560" s="14"/>
    </row>
    <row r="7561" spans="12:12" x14ac:dyDescent="0.3">
      <c r="L7561" s="14"/>
    </row>
    <row r="7562" spans="12:12" x14ac:dyDescent="0.3">
      <c r="L7562" s="14"/>
    </row>
    <row r="7563" spans="12:12" x14ac:dyDescent="0.3">
      <c r="L7563" s="14"/>
    </row>
    <row r="7564" spans="12:12" x14ac:dyDescent="0.3">
      <c r="L7564" s="14"/>
    </row>
    <row r="7565" spans="12:12" x14ac:dyDescent="0.3">
      <c r="L7565" s="14"/>
    </row>
    <row r="7566" spans="12:12" x14ac:dyDescent="0.3">
      <c r="L7566" s="14"/>
    </row>
    <row r="7567" spans="12:12" x14ac:dyDescent="0.3">
      <c r="L7567" s="14"/>
    </row>
    <row r="7568" spans="12:12" x14ac:dyDescent="0.3">
      <c r="L7568" s="14"/>
    </row>
    <row r="7569" spans="12:12" x14ac:dyDescent="0.3">
      <c r="L7569" s="14"/>
    </row>
    <row r="7570" spans="12:12" x14ac:dyDescent="0.3">
      <c r="L7570" s="14"/>
    </row>
    <row r="7571" spans="12:12" x14ac:dyDescent="0.3">
      <c r="L7571" s="14"/>
    </row>
    <row r="7572" spans="12:12" x14ac:dyDescent="0.3">
      <c r="L7572" s="14"/>
    </row>
    <row r="7573" spans="12:12" x14ac:dyDescent="0.3">
      <c r="L7573" s="14"/>
    </row>
    <row r="7574" spans="12:12" x14ac:dyDescent="0.3">
      <c r="L7574" s="14"/>
    </row>
    <row r="7575" spans="12:12" x14ac:dyDescent="0.3">
      <c r="L7575" s="14"/>
    </row>
    <row r="7576" spans="12:12" x14ac:dyDescent="0.3">
      <c r="L7576" s="14"/>
    </row>
    <row r="7577" spans="12:12" x14ac:dyDescent="0.3">
      <c r="L7577" s="14"/>
    </row>
    <row r="7578" spans="12:12" x14ac:dyDescent="0.3">
      <c r="L7578" s="14"/>
    </row>
    <row r="7579" spans="12:12" x14ac:dyDescent="0.3">
      <c r="L7579" s="14"/>
    </row>
    <row r="7580" spans="12:12" x14ac:dyDescent="0.3">
      <c r="L7580" s="14"/>
    </row>
    <row r="7581" spans="12:12" x14ac:dyDescent="0.3">
      <c r="L7581" s="14"/>
    </row>
    <row r="7582" spans="12:12" x14ac:dyDescent="0.3">
      <c r="L7582" s="14"/>
    </row>
    <row r="7583" spans="12:12" x14ac:dyDescent="0.3">
      <c r="L7583" s="14"/>
    </row>
    <row r="7584" spans="12:12" x14ac:dyDescent="0.3">
      <c r="L7584" s="14"/>
    </row>
    <row r="7585" spans="12:12" x14ac:dyDescent="0.3">
      <c r="L7585" s="14"/>
    </row>
    <row r="7586" spans="12:12" x14ac:dyDescent="0.3">
      <c r="L7586" s="14"/>
    </row>
    <row r="7587" spans="12:12" x14ac:dyDescent="0.3">
      <c r="L7587" s="14"/>
    </row>
    <row r="7588" spans="12:12" x14ac:dyDescent="0.3">
      <c r="L7588" s="14"/>
    </row>
    <row r="7589" spans="12:12" x14ac:dyDescent="0.3">
      <c r="L7589" s="14"/>
    </row>
    <row r="7590" spans="12:12" x14ac:dyDescent="0.3">
      <c r="L7590" s="14"/>
    </row>
    <row r="7591" spans="12:12" x14ac:dyDescent="0.3">
      <c r="L7591" s="14"/>
    </row>
    <row r="7592" spans="12:12" x14ac:dyDescent="0.3">
      <c r="L7592" s="14"/>
    </row>
    <row r="7593" spans="12:12" x14ac:dyDescent="0.3">
      <c r="L7593" s="14"/>
    </row>
    <row r="7594" spans="12:12" x14ac:dyDescent="0.3">
      <c r="L7594" s="14"/>
    </row>
    <row r="7595" spans="12:12" x14ac:dyDescent="0.3">
      <c r="L7595" s="14"/>
    </row>
    <row r="7596" spans="12:12" x14ac:dyDescent="0.3">
      <c r="L7596" s="14"/>
    </row>
    <row r="7597" spans="12:12" x14ac:dyDescent="0.3">
      <c r="L7597" s="14"/>
    </row>
    <row r="7598" spans="12:12" x14ac:dyDescent="0.3">
      <c r="L7598" s="14"/>
    </row>
    <row r="7599" spans="12:12" x14ac:dyDescent="0.3">
      <c r="L7599" s="14"/>
    </row>
    <row r="7600" spans="12:12" x14ac:dyDescent="0.3">
      <c r="L7600" s="14"/>
    </row>
    <row r="7601" spans="12:12" x14ac:dyDescent="0.3">
      <c r="L7601" s="14"/>
    </row>
    <row r="7602" spans="12:12" x14ac:dyDescent="0.3">
      <c r="L7602" s="14"/>
    </row>
    <row r="7603" spans="12:12" x14ac:dyDescent="0.3">
      <c r="L7603" s="14"/>
    </row>
    <row r="7604" spans="12:12" x14ac:dyDescent="0.3">
      <c r="L7604" s="14"/>
    </row>
    <row r="7605" spans="12:12" x14ac:dyDescent="0.3">
      <c r="L7605" s="14"/>
    </row>
    <row r="7606" spans="12:12" x14ac:dyDescent="0.3">
      <c r="L7606" s="14"/>
    </row>
    <row r="7607" spans="12:12" x14ac:dyDescent="0.3">
      <c r="L7607" s="14"/>
    </row>
    <row r="7608" spans="12:12" x14ac:dyDescent="0.3">
      <c r="L7608" s="14"/>
    </row>
    <row r="7609" spans="12:12" x14ac:dyDescent="0.3">
      <c r="L7609" s="14"/>
    </row>
    <row r="7610" spans="12:12" x14ac:dyDescent="0.3">
      <c r="L7610" s="14"/>
    </row>
    <row r="7611" spans="12:12" x14ac:dyDescent="0.3">
      <c r="L7611" s="14"/>
    </row>
    <row r="7612" spans="12:12" x14ac:dyDescent="0.3">
      <c r="L7612" s="14"/>
    </row>
    <row r="7613" spans="12:12" x14ac:dyDescent="0.3">
      <c r="L7613" s="14"/>
    </row>
    <row r="7614" spans="12:12" x14ac:dyDescent="0.3">
      <c r="L7614" s="14"/>
    </row>
    <row r="7615" spans="12:12" x14ac:dyDescent="0.3">
      <c r="L7615" s="14"/>
    </row>
    <row r="7616" spans="12:12" x14ac:dyDescent="0.3">
      <c r="L7616" s="14"/>
    </row>
    <row r="7617" spans="12:12" x14ac:dyDescent="0.3">
      <c r="L7617" s="14"/>
    </row>
    <row r="7618" spans="12:12" x14ac:dyDescent="0.3">
      <c r="L7618" s="14"/>
    </row>
    <row r="7619" spans="12:12" x14ac:dyDescent="0.3">
      <c r="L7619" s="14"/>
    </row>
    <row r="7620" spans="12:12" x14ac:dyDescent="0.3">
      <c r="L7620" s="14"/>
    </row>
    <row r="7621" spans="12:12" x14ac:dyDescent="0.3">
      <c r="L7621" s="14"/>
    </row>
    <row r="7622" spans="12:12" x14ac:dyDescent="0.3">
      <c r="L7622" s="14"/>
    </row>
    <row r="7623" spans="12:12" x14ac:dyDescent="0.3">
      <c r="L7623" s="14"/>
    </row>
    <row r="7624" spans="12:12" x14ac:dyDescent="0.3">
      <c r="L7624" s="14"/>
    </row>
    <row r="7625" spans="12:12" x14ac:dyDescent="0.3">
      <c r="L7625" s="14"/>
    </row>
    <row r="7626" spans="12:12" x14ac:dyDescent="0.3">
      <c r="L7626" s="14"/>
    </row>
    <row r="7627" spans="12:12" x14ac:dyDescent="0.3">
      <c r="L7627" s="14"/>
    </row>
    <row r="7628" spans="12:12" x14ac:dyDescent="0.3">
      <c r="L7628" s="14"/>
    </row>
    <row r="7629" spans="12:12" x14ac:dyDescent="0.3">
      <c r="L7629" s="14"/>
    </row>
    <row r="7630" spans="12:12" x14ac:dyDescent="0.3">
      <c r="L7630" s="14"/>
    </row>
    <row r="7631" spans="12:12" x14ac:dyDescent="0.3">
      <c r="L7631" s="14"/>
    </row>
    <row r="7632" spans="12:12" x14ac:dyDescent="0.3">
      <c r="L7632" s="14"/>
    </row>
    <row r="7633" spans="12:12" x14ac:dyDescent="0.3">
      <c r="L7633" s="14"/>
    </row>
    <row r="7634" spans="12:12" x14ac:dyDescent="0.3">
      <c r="L7634" s="14"/>
    </row>
    <row r="7635" spans="12:12" x14ac:dyDescent="0.3">
      <c r="L7635" s="14"/>
    </row>
    <row r="7636" spans="12:12" x14ac:dyDescent="0.3">
      <c r="L7636" s="14"/>
    </row>
    <row r="7637" spans="12:12" x14ac:dyDescent="0.3">
      <c r="L7637" s="14"/>
    </row>
    <row r="7638" spans="12:12" x14ac:dyDescent="0.3">
      <c r="L7638" s="14"/>
    </row>
    <row r="7639" spans="12:12" x14ac:dyDescent="0.3">
      <c r="L7639" s="14"/>
    </row>
    <row r="7640" spans="12:12" x14ac:dyDescent="0.3">
      <c r="L7640" s="14"/>
    </row>
    <row r="7641" spans="12:12" x14ac:dyDescent="0.3">
      <c r="L7641" s="14"/>
    </row>
    <row r="7642" spans="12:12" x14ac:dyDescent="0.3">
      <c r="L7642" s="14"/>
    </row>
    <row r="7643" spans="12:12" x14ac:dyDescent="0.3">
      <c r="L7643" s="14"/>
    </row>
    <row r="7644" spans="12:12" x14ac:dyDescent="0.3">
      <c r="L7644" s="14"/>
    </row>
    <row r="7645" spans="12:12" x14ac:dyDescent="0.3">
      <c r="L7645" s="14"/>
    </row>
    <row r="7646" spans="12:12" x14ac:dyDescent="0.3">
      <c r="L7646" s="14"/>
    </row>
    <row r="7647" spans="12:12" x14ac:dyDescent="0.3">
      <c r="L7647" s="14"/>
    </row>
    <row r="7648" spans="12:12" x14ac:dyDescent="0.3">
      <c r="L7648" s="14"/>
    </row>
    <row r="7649" spans="12:12" x14ac:dyDescent="0.3">
      <c r="L7649" s="14"/>
    </row>
    <row r="7650" spans="12:12" x14ac:dyDescent="0.3">
      <c r="L7650" s="14"/>
    </row>
    <row r="7651" spans="12:12" x14ac:dyDescent="0.3">
      <c r="L7651" s="14"/>
    </row>
    <row r="7652" spans="12:12" x14ac:dyDescent="0.3">
      <c r="L7652" s="14"/>
    </row>
    <row r="7653" spans="12:12" x14ac:dyDescent="0.3">
      <c r="L7653" s="14"/>
    </row>
    <row r="7654" spans="12:12" x14ac:dyDescent="0.3">
      <c r="L7654" s="14"/>
    </row>
    <row r="7655" spans="12:12" x14ac:dyDescent="0.3">
      <c r="L7655" s="14"/>
    </row>
    <row r="7656" spans="12:12" x14ac:dyDescent="0.3">
      <c r="L7656" s="14"/>
    </row>
    <row r="7657" spans="12:12" x14ac:dyDescent="0.3">
      <c r="L7657" s="14"/>
    </row>
    <row r="7658" spans="12:12" x14ac:dyDescent="0.3">
      <c r="L7658" s="14"/>
    </row>
    <row r="7659" spans="12:12" x14ac:dyDescent="0.3">
      <c r="L7659" s="14"/>
    </row>
    <row r="7660" spans="12:12" x14ac:dyDescent="0.3">
      <c r="L7660" s="14"/>
    </row>
    <row r="7661" spans="12:12" x14ac:dyDescent="0.3">
      <c r="L7661" s="14"/>
    </row>
    <row r="7662" spans="12:12" x14ac:dyDescent="0.3">
      <c r="L7662" s="14"/>
    </row>
    <row r="7663" spans="12:12" x14ac:dyDescent="0.3">
      <c r="L7663" s="14"/>
    </row>
    <row r="7664" spans="12:12" x14ac:dyDescent="0.3">
      <c r="L7664" s="14"/>
    </row>
    <row r="7665" spans="12:12" x14ac:dyDescent="0.3">
      <c r="L7665" s="14"/>
    </row>
    <row r="7666" spans="12:12" x14ac:dyDescent="0.3">
      <c r="L7666" s="14"/>
    </row>
    <row r="7667" spans="12:12" x14ac:dyDescent="0.3">
      <c r="L7667" s="14"/>
    </row>
    <row r="7668" spans="12:12" x14ac:dyDescent="0.3">
      <c r="L7668" s="14"/>
    </row>
    <row r="7669" spans="12:12" x14ac:dyDescent="0.3">
      <c r="L7669" s="14"/>
    </row>
    <row r="7670" spans="12:12" x14ac:dyDescent="0.3">
      <c r="L7670" s="14"/>
    </row>
    <row r="7671" spans="12:12" x14ac:dyDescent="0.3">
      <c r="L7671" s="14"/>
    </row>
    <row r="7672" spans="12:12" x14ac:dyDescent="0.3">
      <c r="L7672" s="14"/>
    </row>
    <row r="7673" spans="12:12" x14ac:dyDescent="0.3">
      <c r="L7673" s="14"/>
    </row>
    <row r="7674" spans="12:12" x14ac:dyDescent="0.3">
      <c r="L7674" s="14"/>
    </row>
    <row r="7675" spans="12:12" x14ac:dyDescent="0.3">
      <c r="L7675" s="14"/>
    </row>
    <row r="7676" spans="12:12" x14ac:dyDescent="0.3">
      <c r="L7676" s="14"/>
    </row>
    <row r="7677" spans="12:12" x14ac:dyDescent="0.3">
      <c r="L7677" s="14"/>
    </row>
    <row r="7678" spans="12:12" x14ac:dyDescent="0.3">
      <c r="L7678" s="14"/>
    </row>
    <row r="7679" spans="12:12" x14ac:dyDescent="0.3">
      <c r="L7679" s="14"/>
    </row>
    <row r="7680" spans="12:12" x14ac:dyDescent="0.3">
      <c r="L7680" s="14"/>
    </row>
    <row r="7681" spans="12:12" x14ac:dyDescent="0.3">
      <c r="L7681" s="14"/>
    </row>
    <row r="7682" spans="12:12" x14ac:dyDescent="0.3">
      <c r="L7682" s="14"/>
    </row>
    <row r="7683" spans="12:12" x14ac:dyDescent="0.3">
      <c r="L7683" s="14"/>
    </row>
    <row r="7684" spans="12:12" x14ac:dyDescent="0.3">
      <c r="L7684" s="14"/>
    </row>
    <row r="7685" spans="12:12" x14ac:dyDescent="0.3">
      <c r="L7685" s="14"/>
    </row>
    <row r="7686" spans="12:12" x14ac:dyDescent="0.3">
      <c r="L7686" s="14"/>
    </row>
    <row r="7687" spans="12:12" x14ac:dyDescent="0.3">
      <c r="L7687" s="14"/>
    </row>
    <row r="7688" spans="12:12" x14ac:dyDescent="0.3">
      <c r="L7688" s="14"/>
    </row>
    <row r="7689" spans="12:12" x14ac:dyDescent="0.3">
      <c r="L7689" s="14"/>
    </row>
    <row r="7690" spans="12:12" x14ac:dyDescent="0.3">
      <c r="L7690" s="14"/>
    </row>
    <row r="7691" spans="12:12" x14ac:dyDescent="0.3">
      <c r="L7691" s="14"/>
    </row>
    <row r="7692" spans="12:12" x14ac:dyDescent="0.3">
      <c r="L7692" s="14"/>
    </row>
    <row r="7693" spans="12:12" x14ac:dyDescent="0.3">
      <c r="L7693" s="14"/>
    </row>
    <row r="7694" spans="12:12" x14ac:dyDescent="0.3">
      <c r="L7694" s="14"/>
    </row>
    <row r="7695" spans="12:12" x14ac:dyDescent="0.3">
      <c r="L7695" s="14"/>
    </row>
    <row r="7696" spans="12:12" x14ac:dyDescent="0.3">
      <c r="L7696" s="14"/>
    </row>
    <row r="7697" spans="5:12" x14ac:dyDescent="0.3">
      <c r="L7697" s="14"/>
    </row>
    <row r="7698" spans="5:12" x14ac:dyDescent="0.3">
      <c r="L7698" s="14"/>
    </row>
    <row r="7699" spans="5:12" x14ac:dyDescent="0.3">
      <c r="L7699" s="14"/>
    </row>
    <row r="7700" spans="5:12" x14ac:dyDescent="0.3">
      <c r="L7700" s="14"/>
    </row>
    <row r="7701" spans="5:12" x14ac:dyDescent="0.3">
      <c r="L7701" s="14"/>
    </row>
    <row r="7702" spans="5:12" x14ac:dyDescent="0.3">
      <c r="L7702" s="14"/>
    </row>
    <row r="7703" spans="5:12" x14ac:dyDescent="0.3">
      <c r="L7703" s="14"/>
    </row>
    <row r="7704" spans="5:12" x14ac:dyDescent="0.3">
      <c r="L7704" s="14"/>
    </row>
    <row r="7705" spans="5:12" x14ac:dyDescent="0.3">
      <c r="L7705" s="14"/>
    </row>
    <row r="7706" spans="5:12" x14ac:dyDescent="0.3">
      <c r="L7706" s="14"/>
    </row>
    <row r="7707" spans="5:12" x14ac:dyDescent="0.3">
      <c r="L7707" s="14"/>
    </row>
    <row r="7708" spans="5:12" x14ac:dyDescent="0.3">
      <c r="L7708" s="14"/>
    </row>
    <row r="7709" spans="5:12" x14ac:dyDescent="0.3">
      <c r="L7709" s="14"/>
    </row>
    <row r="7710" spans="5:12" x14ac:dyDescent="0.3">
      <c r="E7710" s="14"/>
      <c r="L7710" s="14"/>
    </row>
    <row r="7711" spans="5:12" x14ac:dyDescent="0.3">
      <c r="E7711" s="14"/>
      <c r="L7711" s="14"/>
    </row>
    <row r="7712" spans="5:12" x14ac:dyDescent="0.3">
      <c r="E7712" s="14"/>
      <c r="L7712" s="14"/>
    </row>
    <row r="7713" spans="5:12" x14ac:dyDescent="0.3">
      <c r="E7713" s="14"/>
      <c r="L7713" s="14"/>
    </row>
    <row r="7714" spans="5:12" x14ac:dyDescent="0.3">
      <c r="E7714" s="14"/>
      <c r="L7714" s="14"/>
    </row>
    <row r="7715" spans="5:12" x14ac:dyDescent="0.3">
      <c r="E7715" s="14"/>
      <c r="L7715" s="14"/>
    </row>
    <row r="7716" spans="5:12" x14ac:dyDescent="0.3">
      <c r="E7716" s="14"/>
      <c r="L7716" s="14"/>
    </row>
    <row r="7717" spans="5:12" x14ac:dyDescent="0.3">
      <c r="E7717" s="14"/>
      <c r="L7717" s="14"/>
    </row>
    <row r="7718" spans="5:12" x14ac:dyDescent="0.3">
      <c r="E7718" s="14"/>
      <c r="L7718" s="14"/>
    </row>
    <row r="7719" spans="5:12" x14ac:dyDescent="0.3">
      <c r="E7719" s="14"/>
      <c r="L7719" s="14"/>
    </row>
    <row r="7720" spans="5:12" x14ac:dyDescent="0.3">
      <c r="E7720" s="14"/>
      <c r="L7720" s="14"/>
    </row>
    <row r="7721" spans="5:12" x14ac:dyDescent="0.3">
      <c r="E7721" s="14"/>
      <c r="L7721" s="14"/>
    </row>
    <row r="7722" spans="5:12" x14ac:dyDescent="0.3">
      <c r="E7722" s="14"/>
      <c r="L7722" s="14"/>
    </row>
    <row r="7723" spans="5:12" x14ac:dyDescent="0.3">
      <c r="E7723" s="14"/>
      <c r="L7723" s="14"/>
    </row>
    <row r="7724" spans="5:12" x14ac:dyDescent="0.3">
      <c r="E7724" s="14"/>
      <c r="L7724" s="14"/>
    </row>
    <row r="7725" spans="5:12" x14ac:dyDescent="0.3">
      <c r="E7725" s="14"/>
      <c r="L7725" s="14"/>
    </row>
    <row r="7726" spans="5:12" x14ac:dyDescent="0.3">
      <c r="E7726" s="14"/>
      <c r="L7726" s="14"/>
    </row>
    <row r="7727" spans="5:12" x14ac:dyDescent="0.3">
      <c r="E7727" s="14"/>
      <c r="L7727" s="14"/>
    </row>
    <row r="7728" spans="5:12" x14ac:dyDescent="0.3">
      <c r="E7728" s="14"/>
      <c r="L7728" s="14"/>
    </row>
    <row r="7729" spans="5:12" x14ac:dyDescent="0.3">
      <c r="E7729" s="14"/>
      <c r="L7729" s="14"/>
    </row>
    <row r="7730" spans="5:12" x14ac:dyDescent="0.3">
      <c r="E7730" s="14"/>
      <c r="L7730" s="14"/>
    </row>
    <row r="7731" spans="5:12" x14ac:dyDescent="0.3">
      <c r="E7731" s="14"/>
      <c r="L7731" s="14"/>
    </row>
    <row r="7732" spans="5:12" x14ac:dyDescent="0.3">
      <c r="E7732" s="14"/>
      <c r="L7732" s="14"/>
    </row>
    <row r="7733" spans="5:12" x14ac:dyDescent="0.3">
      <c r="E7733" s="14"/>
      <c r="L7733" s="14"/>
    </row>
    <row r="7734" spans="5:12" x14ac:dyDescent="0.3">
      <c r="E7734" s="14"/>
      <c r="L7734" s="14"/>
    </row>
    <row r="7735" spans="5:12" x14ac:dyDescent="0.3">
      <c r="E7735" s="14"/>
      <c r="L7735" s="14"/>
    </row>
    <row r="7736" spans="5:12" x14ac:dyDescent="0.3">
      <c r="E7736" s="14"/>
      <c r="L7736" s="14"/>
    </row>
    <row r="7737" spans="5:12" x14ac:dyDescent="0.3">
      <c r="E7737" s="14"/>
      <c r="L7737" s="14"/>
    </row>
    <row r="7738" spans="5:12" x14ac:dyDescent="0.3">
      <c r="E7738" s="14"/>
      <c r="L7738" s="14"/>
    </row>
    <row r="7739" spans="5:12" x14ac:dyDescent="0.3">
      <c r="E7739" s="14"/>
      <c r="L7739" s="14"/>
    </row>
    <row r="7740" spans="5:12" x14ac:dyDescent="0.3">
      <c r="E7740" s="14"/>
      <c r="L7740" s="14"/>
    </row>
    <row r="7741" spans="5:12" x14ac:dyDescent="0.3">
      <c r="E7741" s="14"/>
      <c r="L7741" s="14"/>
    </row>
    <row r="7742" spans="5:12" x14ac:dyDescent="0.3">
      <c r="E7742" s="14"/>
    </row>
    <row r="7743" spans="5:12" x14ac:dyDescent="0.3">
      <c r="E7743" s="14"/>
    </row>
    <row r="7744" spans="5:12" x14ac:dyDescent="0.3">
      <c r="E7744" s="14"/>
    </row>
    <row r="7745" spans="5:5" x14ac:dyDescent="0.3">
      <c r="E7745" s="14"/>
    </row>
    <row r="7746" spans="5:5" x14ac:dyDescent="0.3">
      <c r="E7746" s="14"/>
    </row>
    <row r="7747" spans="5:5" x14ac:dyDescent="0.3">
      <c r="E7747" s="14"/>
    </row>
    <row r="7748" spans="5:5" x14ac:dyDescent="0.3">
      <c r="E7748" s="14"/>
    </row>
    <row r="7749" spans="5:5" x14ac:dyDescent="0.3">
      <c r="E7749" s="14"/>
    </row>
    <row r="7750" spans="5:5" x14ac:dyDescent="0.3">
      <c r="E7750" s="14"/>
    </row>
    <row r="7751" spans="5:5" x14ac:dyDescent="0.3">
      <c r="E7751" s="14"/>
    </row>
    <row r="7752" spans="5:5" x14ac:dyDescent="0.3">
      <c r="E7752" s="14"/>
    </row>
    <row r="7753" spans="5:5" x14ac:dyDescent="0.3">
      <c r="E7753" s="14"/>
    </row>
    <row r="7754" spans="5:5" x14ac:dyDescent="0.3">
      <c r="E7754" s="14"/>
    </row>
    <row r="7755" spans="5:5" x14ac:dyDescent="0.3">
      <c r="E7755" s="14"/>
    </row>
    <row r="7756" spans="5:5" x14ac:dyDescent="0.3">
      <c r="E7756" s="14"/>
    </row>
    <row r="7757" spans="5:5" x14ac:dyDescent="0.3">
      <c r="E7757" s="14"/>
    </row>
    <row r="7758" spans="5:5" x14ac:dyDescent="0.3">
      <c r="E7758" s="14"/>
    </row>
    <row r="7759" spans="5:5" x14ac:dyDescent="0.3">
      <c r="E7759" s="14"/>
    </row>
    <row r="7760" spans="5:5" x14ac:dyDescent="0.3">
      <c r="E7760" s="14"/>
    </row>
    <row r="7761" spans="5:5" x14ac:dyDescent="0.3">
      <c r="E7761" s="14"/>
    </row>
    <row r="7762" spans="5:5" x14ac:dyDescent="0.3">
      <c r="E7762" s="14"/>
    </row>
    <row r="7763" spans="5:5" x14ac:dyDescent="0.3">
      <c r="E7763" s="14"/>
    </row>
    <row r="7764" spans="5:5" x14ac:dyDescent="0.3">
      <c r="E7764" s="14"/>
    </row>
    <row r="7765" spans="5:5" x14ac:dyDescent="0.3">
      <c r="E7765" s="14"/>
    </row>
    <row r="7766" spans="5:5" x14ac:dyDescent="0.3">
      <c r="E7766" s="14"/>
    </row>
    <row r="7767" spans="5:5" x14ac:dyDescent="0.3">
      <c r="E7767" s="14"/>
    </row>
    <row r="7768" spans="5:5" x14ac:dyDescent="0.3">
      <c r="E7768" s="14"/>
    </row>
    <row r="7769" spans="5:5" x14ac:dyDescent="0.3">
      <c r="E7769" s="14"/>
    </row>
    <row r="7770" spans="5:5" x14ac:dyDescent="0.3">
      <c r="E7770" s="14"/>
    </row>
    <row r="7771" spans="5:5" x14ac:dyDescent="0.3">
      <c r="E7771" s="14"/>
    </row>
    <row r="7772" spans="5:5" x14ac:dyDescent="0.3">
      <c r="E7772" s="14"/>
    </row>
    <row r="7773" spans="5:5" x14ac:dyDescent="0.3">
      <c r="E7773" s="14"/>
    </row>
    <row r="7774" spans="5:5" x14ac:dyDescent="0.3">
      <c r="E7774" s="14"/>
    </row>
    <row r="7775" spans="5:5" x14ac:dyDescent="0.3">
      <c r="E7775" s="14"/>
    </row>
    <row r="7776" spans="5:5" x14ac:dyDescent="0.3">
      <c r="E7776" s="14"/>
    </row>
    <row r="7777" spans="5:5" x14ac:dyDescent="0.3">
      <c r="E7777" s="14"/>
    </row>
    <row r="7778" spans="5:5" x14ac:dyDescent="0.3">
      <c r="E7778" s="14"/>
    </row>
    <row r="7779" spans="5:5" x14ac:dyDescent="0.3">
      <c r="E7779" s="14"/>
    </row>
    <row r="7780" spans="5:5" x14ac:dyDescent="0.3">
      <c r="E7780" s="14"/>
    </row>
    <row r="7781" spans="5:5" x14ac:dyDescent="0.3">
      <c r="E7781" s="14"/>
    </row>
    <row r="7782" spans="5:5" x14ac:dyDescent="0.3">
      <c r="E7782" s="14"/>
    </row>
    <row r="7783" spans="5:5" x14ac:dyDescent="0.3">
      <c r="E7783" s="14"/>
    </row>
    <row r="7784" spans="5:5" x14ac:dyDescent="0.3">
      <c r="E7784" s="14"/>
    </row>
    <row r="7785" spans="5:5" x14ac:dyDescent="0.3">
      <c r="E7785" s="14"/>
    </row>
    <row r="7786" spans="5:5" x14ac:dyDescent="0.3">
      <c r="E7786" s="14"/>
    </row>
    <row r="7787" spans="5:5" x14ac:dyDescent="0.3">
      <c r="E7787" s="14"/>
    </row>
    <row r="7788" spans="5:5" x14ac:dyDescent="0.3">
      <c r="E7788" s="14"/>
    </row>
    <row r="7789" spans="5:5" x14ac:dyDescent="0.3">
      <c r="E7789" s="14"/>
    </row>
    <row r="7790" spans="5:5" x14ac:dyDescent="0.3">
      <c r="E7790" s="14"/>
    </row>
    <row r="7791" spans="5:5" x14ac:dyDescent="0.3">
      <c r="E7791" s="14"/>
    </row>
    <row r="7792" spans="5:5" x14ac:dyDescent="0.3">
      <c r="E7792" s="14"/>
    </row>
    <row r="7793" spans="5:5" x14ac:dyDescent="0.3">
      <c r="E7793" s="14"/>
    </row>
    <row r="7794" spans="5:5" x14ac:dyDescent="0.3">
      <c r="E7794" s="14"/>
    </row>
    <row r="7795" spans="5:5" x14ac:dyDescent="0.3">
      <c r="E7795" s="14"/>
    </row>
    <row r="7796" spans="5:5" x14ac:dyDescent="0.3">
      <c r="E7796" s="14"/>
    </row>
    <row r="7797" spans="5:5" x14ac:dyDescent="0.3">
      <c r="E7797" s="14"/>
    </row>
    <row r="7798" spans="5:5" x14ac:dyDescent="0.3">
      <c r="E7798" s="14"/>
    </row>
    <row r="7799" spans="5:5" x14ac:dyDescent="0.3">
      <c r="E7799" s="14"/>
    </row>
    <row r="7800" spans="5:5" x14ac:dyDescent="0.3">
      <c r="E7800" s="14"/>
    </row>
    <row r="7801" spans="5:5" x14ac:dyDescent="0.3">
      <c r="E7801" s="14"/>
    </row>
    <row r="7802" spans="5:5" x14ac:dyDescent="0.3">
      <c r="E7802" s="14"/>
    </row>
    <row r="7803" spans="5:5" x14ac:dyDescent="0.3">
      <c r="E7803" s="14"/>
    </row>
    <row r="7804" spans="5:5" x14ac:dyDescent="0.3">
      <c r="E7804" s="14"/>
    </row>
    <row r="7805" spans="5:5" x14ac:dyDescent="0.3">
      <c r="E7805" s="14"/>
    </row>
    <row r="7806" spans="5:5" x14ac:dyDescent="0.3">
      <c r="E7806" s="14"/>
    </row>
    <row r="7807" spans="5:5" x14ac:dyDescent="0.3">
      <c r="E7807" s="14"/>
    </row>
    <row r="7808" spans="5:5" x14ac:dyDescent="0.3">
      <c r="E7808" s="14"/>
    </row>
    <row r="7809" spans="5:5" x14ac:dyDescent="0.3">
      <c r="E7809" s="14"/>
    </row>
    <row r="7810" spans="5:5" x14ac:dyDescent="0.3">
      <c r="E7810" s="14"/>
    </row>
    <row r="7811" spans="5:5" x14ac:dyDescent="0.3">
      <c r="E7811" s="14"/>
    </row>
    <row r="7812" spans="5:5" x14ac:dyDescent="0.3">
      <c r="E7812" s="14"/>
    </row>
    <row r="7813" spans="5:5" x14ac:dyDescent="0.3">
      <c r="E7813" s="14"/>
    </row>
    <row r="7814" spans="5:5" x14ac:dyDescent="0.3">
      <c r="E7814" s="14"/>
    </row>
    <row r="7815" spans="5:5" x14ac:dyDescent="0.3">
      <c r="E7815" s="14"/>
    </row>
    <row r="7816" spans="5:5" x14ac:dyDescent="0.3">
      <c r="E7816" s="14"/>
    </row>
    <row r="7817" spans="5:5" x14ac:dyDescent="0.3">
      <c r="E7817" s="14"/>
    </row>
    <row r="7818" spans="5:5" x14ac:dyDescent="0.3">
      <c r="E7818" s="14"/>
    </row>
    <row r="7819" spans="5:5" x14ac:dyDescent="0.3">
      <c r="E7819" s="14"/>
    </row>
    <row r="7820" spans="5:5" x14ac:dyDescent="0.3">
      <c r="E7820" s="14"/>
    </row>
    <row r="7821" spans="5:5" x14ac:dyDescent="0.3">
      <c r="E7821" s="14"/>
    </row>
    <row r="7822" spans="5:5" x14ac:dyDescent="0.3">
      <c r="E7822" s="14"/>
    </row>
    <row r="7823" spans="5:5" x14ac:dyDescent="0.3">
      <c r="E7823" s="14"/>
    </row>
    <row r="7824" spans="5:5" x14ac:dyDescent="0.3">
      <c r="E7824" s="14"/>
    </row>
    <row r="7825" spans="5:5" x14ac:dyDescent="0.3">
      <c r="E7825" s="14"/>
    </row>
    <row r="7826" spans="5:5" x14ac:dyDescent="0.3">
      <c r="E7826" s="14"/>
    </row>
    <row r="7827" spans="5:5" x14ac:dyDescent="0.3">
      <c r="E7827" s="14"/>
    </row>
    <row r="7828" spans="5:5" x14ac:dyDescent="0.3">
      <c r="E7828" s="14"/>
    </row>
    <row r="7829" spans="5:5" x14ac:dyDescent="0.3">
      <c r="E7829" s="14"/>
    </row>
    <row r="7830" spans="5:5" x14ac:dyDescent="0.3">
      <c r="E7830" s="14"/>
    </row>
    <row r="7831" spans="5:5" x14ac:dyDescent="0.3">
      <c r="E7831" s="14"/>
    </row>
    <row r="7832" spans="5:5" x14ac:dyDescent="0.3">
      <c r="E7832" s="14"/>
    </row>
    <row r="7833" spans="5:5" x14ac:dyDescent="0.3">
      <c r="E7833" s="14"/>
    </row>
    <row r="7834" spans="5:5" x14ac:dyDescent="0.3">
      <c r="E7834" s="14"/>
    </row>
    <row r="7835" spans="5:5" x14ac:dyDescent="0.3">
      <c r="E7835" s="14"/>
    </row>
    <row r="7836" spans="5:5" x14ac:dyDescent="0.3">
      <c r="E7836" s="14"/>
    </row>
    <row r="7837" spans="5:5" x14ac:dyDescent="0.3">
      <c r="E7837" s="14"/>
    </row>
    <row r="7838" spans="5:5" x14ac:dyDescent="0.3">
      <c r="E7838" s="14"/>
    </row>
    <row r="7839" spans="5:5" x14ac:dyDescent="0.3">
      <c r="E7839" s="14"/>
    </row>
    <row r="7840" spans="5:5" x14ac:dyDescent="0.3">
      <c r="E7840" s="14"/>
    </row>
    <row r="7841" spans="5:5" x14ac:dyDescent="0.3">
      <c r="E7841" s="14"/>
    </row>
    <row r="7842" spans="5:5" x14ac:dyDescent="0.3">
      <c r="E7842" s="14"/>
    </row>
    <row r="7843" spans="5:5" x14ac:dyDescent="0.3">
      <c r="E7843" s="14"/>
    </row>
    <row r="7844" spans="5:5" x14ac:dyDescent="0.3">
      <c r="E7844" s="14"/>
    </row>
    <row r="7845" spans="5:5" x14ac:dyDescent="0.3">
      <c r="E7845" s="14"/>
    </row>
    <row r="7846" spans="5:5" x14ac:dyDescent="0.3">
      <c r="E7846" s="14"/>
    </row>
    <row r="7847" spans="5:5" x14ac:dyDescent="0.3">
      <c r="E7847" s="14"/>
    </row>
    <row r="7848" spans="5:5" x14ac:dyDescent="0.3">
      <c r="E7848" s="14"/>
    </row>
    <row r="7849" spans="5:5" x14ac:dyDescent="0.3">
      <c r="E7849" s="14"/>
    </row>
    <row r="7850" spans="5:5" x14ac:dyDescent="0.3">
      <c r="E7850" s="14"/>
    </row>
    <row r="7851" spans="5:5" x14ac:dyDescent="0.3">
      <c r="E7851" s="14"/>
    </row>
    <row r="7852" spans="5:5" x14ac:dyDescent="0.3">
      <c r="E7852" s="14"/>
    </row>
    <row r="7853" spans="5:5" x14ac:dyDescent="0.3">
      <c r="E7853" s="14"/>
    </row>
    <row r="7854" spans="5:5" x14ac:dyDescent="0.3">
      <c r="E7854" s="14"/>
    </row>
    <row r="7855" spans="5:5" x14ac:dyDescent="0.3">
      <c r="E7855" s="14"/>
    </row>
    <row r="7856" spans="5:5" x14ac:dyDescent="0.3">
      <c r="E7856" s="14"/>
    </row>
    <row r="7857" spans="5:5" x14ac:dyDescent="0.3">
      <c r="E7857" s="14"/>
    </row>
    <row r="7858" spans="5:5" x14ac:dyDescent="0.3">
      <c r="E7858" s="14"/>
    </row>
    <row r="7859" spans="5:5" x14ac:dyDescent="0.3">
      <c r="E7859" s="14"/>
    </row>
    <row r="7860" spans="5:5" x14ac:dyDescent="0.3">
      <c r="E7860" s="14"/>
    </row>
    <row r="7861" spans="5:5" x14ac:dyDescent="0.3">
      <c r="E7861" s="14"/>
    </row>
    <row r="7862" spans="5:5" x14ac:dyDescent="0.3">
      <c r="E7862" s="14"/>
    </row>
    <row r="7863" spans="5:5" x14ac:dyDescent="0.3">
      <c r="E7863" s="14"/>
    </row>
    <row r="7864" spans="5:5" x14ac:dyDescent="0.3">
      <c r="E7864" s="14"/>
    </row>
    <row r="7865" spans="5:5" x14ac:dyDescent="0.3">
      <c r="E7865" s="14"/>
    </row>
    <row r="7866" spans="5:5" x14ac:dyDescent="0.3">
      <c r="E7866" s="14"/>
    </row>
    <row r="7867" spans="5:5" x14ac:dyDescent="0.3">
      <c r="E7867" s="14"/>
    </row>
    <row r="7868" spans="5:5" x14ac:dyDescent="0.3">
      <c r="E7868" s="14"/>
    </row>
    <row r="7869" spans="5:5" x14ac:dyDescent="0.3">
      <c r="E7869" s="14"/>
    </row>
    <row r="7870" spans="5:5" x14ac:dyDescent="0.3">
      <c r="E7870" s="14"/>
    </row>
    <row r="7871" spans="5:5" x14ac:dyDescent="0.3">
      <c r="E7871" s="14"/>
    </row>
    <row r="7872" spans="5:5" x14ac:dyDescent="0.3">
      <c r="E7872" s="14"/>
    </row>
    <row r="7873" spans="5:5" x14ac:dyDescent="0.3">
      <c r="E7873" s="14"/>
    </row>
    <row r="7874" spans="5:5" x14ac:dyDescent="0.3">
      <c r="E7874" s="14"/>
    </row>
    <row r="7875" spans="5:5" x14ac:dyDescent="0.3">
      <c r="E7875" s="14"/>
    </row>
    <row r="7876" spans="5:5" x14ac:dyDescent="0.3">
      <c r="E7876" s="14"/>
    </row>
    <row r="7877" spans="5:5" x14ac:dyDescent="0.3">
      <c r="E7877" s="14"/>
    </row>
    <row r="7878" spans="5:5" x14ac:dyDescent="0.3">
      <c r="E7878" s="14"/>
    </row>
    <row r="7879" spans="5:5" x14ac:dyDescent="0.3">
      <c r="E7879" s="14"/>
    </row>
    <row r="7880" spans="5:5" x14ac:dyDescent="0.3">
      <c r="E7880" s="14"/>
    </row>
    <row r="7881" spans="5:5" x14ac:dyDescent="0.3">
      <c r="E7881" s="14"/>
    </row>
    <row r="7882" spans="5:5" x14ac:dyDescent="0.3">
      <c r="E7882" s="14"/>
    </row>
    <row r="7883" spans="5:5" x14ac:dyDescent="0.3">
      <c r="E7883" s="14"/>
    </row>
    <row r="7884" spans="5:5" x14ac:dyDescent="0.3">
      <c r="E7884" s="14"/>
    </row>
    <row r="7885" spans="5:5" x14ac:dyDescent="0.3">
      <c r="E7885" s="14"/>
    </row>
    <row r="7886" spans="5:5" x14ac:dyDescent="0.3">
      <c r="E7886" s="14"/>
    </row>
    <row r="7887" spans="5:5" x14ac:dyDescent="0.3">
      <c r="E7887" s="14"/>
    </row>
    <row r="7888" spans="5:5" x14ac:dyDescent="0.3">
      <c r="E7888" s="14"/>
    </row>
    <row r="7889" spans="5:5" x14ac:dyDescent="0.3">
      <c r="E7889" s="14"/>
    </row>
    <row r="7890" spans="5:5" x14ac:dyDescent="0.3">
      <c r="E7890" s="14"/>
    </row>
    <row r="7891" spans="5:5" x14ac:dyDescent="0.3">
      <c r="E7891" s="14"/>
    </row>
    <row r="7892" spans="5:5" x14ac:dyDescent="0.3">
      <c r="E7892" s="14"/>
    </row>
    <row r="7893" spans="5:5" x14ac:dyDescent="0.3">
      <c r="E7893" s="14"/>
    </row>
    <row r="7894" spans="5:5" x14ac:dyDescent="0.3">
      <c r="E7894" s="14"/>
    </row>
    <row r="7895" spans="5:5" x14ac:dyDescent="0.3">
      <c r="E7895" s="14"/>
    </row>
    <row r="7896" spans="5:5" x14ac:dyDescent="0.3">
      <c r="E7896" s="14"/>
    </row>
    <row r="7897" spans="5:5" x14ac:dyDescent="0.3">
      <c r="E7897" s="14"/>
    </row>
    <row r="7898" spans="5:5" x14ac:dyDescent="0.3">
      <c r="E7898" s="14"/>
    </row>
    <row r="7899" spans="5:5" x14ac:dyDescent="0.3">
      <c r="E7899" s="14"/>
    </row>
    <row r="7900" spans="5:5" x14ac:dyDescent="0.3">
      <c r="E7900" s="14"/>
    </row>
    <row r="7901" spans="5:5" x14ac:dyDescent="0.3">
      <c r="E7901" s="14"/>
    </row>
    <row r="7902" spans="5:5" x14ac:dyDescent="0.3">
      <c r="E7902" s="14"/>
    </row>
    <row r="7903" spans="5:5" x14ac:dyDescent="0.3">
      <c r="E7903" s="14"/>
    </row>
    <row r="7904" spans="5:5" x14ac:dyDescent="0.3">
      <c r="E7904" s="14"/>
    </row>
    <row r="7905" spans="5:5" x14ac:dyDescent="0.3">
      <c r="E7905" s="14"/>
    </row>
    <row r="7906" spans="5:5" x14ac:dyDescent="0.3">
      <c r="E7906" s="14"/>
    </row>
    <row r="7907" spans="5:5" x14ac:dyDescent="0.3">
      <c r="E7907" s="14"/>
    </row>
    <row r="7908" spans="5:5" x14ac:dyDescent="0.3">
      <c r="E7908" s="14"/>
    </row>
    <row r="7909" spans="5:5" x14ac:dyDescent="0.3">
      <c r="E7909" s="14"/>
    </row>
    <row r="7910" spans="5:5" x14ac:dyDescent="0.3">
      <c r="E7910" s="14"/>
    </row>
    <row r="7911" spans="5:5" x14ac:dyDescent="0.3">
      <c r="E7911" s="14"/>
    </row>
    <row r="7912" spans="5:5" x14ac:dyDescent="0.3">
      <c r="E7912" s="14"/>
    </row>
    <row r="7913" spans="5:5" x14ac:dyDescent="0.3">
      <c r="E7913" s="14"/>
    </row>
    <row r="7914" spans="5:5" x14ac:dyDescent="0.3">
      <c r="E7914" s="14"/>
    </row>
    <row r="7915" spans="5:5" x14ac:dyDescent="0.3">
      <c r="E7915" s="14"/>
    </row>
    <row r="7916" spans="5:5" x14ac:dyDescent="0.3">
      <c r="E7916" s="14"/>
    </row>
    <row r="7917" spans="5:5" x14ac:dyDescent="0.3">
      <c r="E7917" s="14"/>
    </row>
    <row r="7918" spans="5:5" x14ac:dyDescent="0.3">
      <c r="E7918" s="14"/>
    </row>
    <row r="7919" spans="5:5" x14ac:dyDescent="0.3">
      <c r="E7919" s="14"/>
    </row>
    <row r="7920" spans="5:5" x14ac:dyDescent="0.3">
      <c r="E7920" s="14"/>
    </row>
    <row r="7921" spans="5:5" x14ac:dyDescent="0.3">
      <c r="E7921" s="14"/>
    </row>
    <row r="7922" spans="5:5" x14ac:dyDescent="0.3">
      <c r="E7922" s="14"/>
    </row>
    <row r="7923" spans="5:5" x14ac:dyDescent="0.3">
      <c r="E7923" s="14"/>
    </row>
    <row r="7924" spans="5:5" x14ac:dyDescent="0.3">
      <c r="E7924" s="14"/>
    </row>
    <row r="7925" spans="5:5" x14ac:dyDescent="0.3">
      <c r="E7925" s="14"/>
    </row>
    <row r="7926" spans="5:5" x14ac:dyDescent="0.3">
      <c r="E7926" s="14"/>
    </row>
    <row r="7927" spans="5:5" x14ac:dyDescent="0.3">
      <c r="E7927" s="14"/>
    </row>
    <row r="7928" spans="5:5" x14ac:dyDescent="0.3">
      <c r="E7928" s="14"/>
    </row>
    <row r="7929" spans="5:5" x14ac:dyDescent="0.3">
      <c r="E7929" s="14"/>
    </row>
    <row r="7930" spans="5:5" x14ac:dyDescent="0.3">
      <c r="E7930" s="14"/>
    </row>
    <row r="7931" spans="5:5" x14ac:dyDescent="0.3">
      <c r="E7931" s="14"/>
    </row>
    <row r="7932" spans="5:5" x14ac:dyDescent="0.3">
      <c r="E7932" s="14"/>
    </row>
    <row r="7933" spans="5:5" x14ac:dyDescent="0.3">
      <c r="E7933" s="14"/>
    </row>
    <row r="7934" spans="5:5" x14ac:dyDescent="0.3">
      <c r="E7934" s="14"/>
    </row>
    <row r="7935" spans="5:5" x14ac:dyDescent="0.3">
      <c r="E7935" s="14"/>
    </row>
    <row r="7936" spans="5:5" x14ac:dyDescent="0.3">
      <c r="E7936" s="14"/>
    </row>
    <row r="7937" spans="5:5" x14ac:dyDescent="0.3">
      <c r="E7937" s="14"/>
    </row>
    <row r="7938" spans="5:5" x14ac:dyDescent="0.3">
      <c r="E7938" s="14"/>
    </row>
    <row r="7939" spans="5:5" x14ac:dyDescent="0.3">
      <c r="E7939" s="14"/>
    </row>
    <row r="7940" spans="5:5" x14ac:dyDescent="0.3">
      <c r="E7940" s="14"/>
    </row>
    <row r="7941" spans="5:5" x14ac:dyDescent="0.3">
      <c r="E7941" s="14"/>
    </row>
    <row r="7942" spans="5:5" x14ac:dyDescent="0.3">
      <c r="E7942" s="14"/>
    </row>
    <row r="7943" spans="5:5" x14ac:dyDescent="0.3">
      <c r="E7943" s="14"/>
    </row>
    <row r="7944" spans="5:5" x14ac:dyDescent="0.3">
      <c r="E7944" s="14"/>
    </row>
    <row r="7945" spans="5:5" x14ac:dyDescent="0.3">
      <c r="E7945" s="14"/>
    </row>
    <row r="7946" spans="5:5" x14ac:dyDescent="0.3">
      <c r="E7946" s="14"/>
    </row>
    <row r="7947" spans="5:5" x14ac:dyDescent="0.3">
      <c r="E7947" s="14"/>
    </row>
    <row r="7948" spans="5:5" x14ac:dyDescent="0.3">
      <c r="E7948" s="14"/>
    </row>
    <row r="7949" spans="5:5" x14ac:dyDescent="0.3">
      <c r="E7949" s="14"/>
    </row>
    <row r="7950" spans="5:5" x14ac:dyDescent="0.3">
      <c r="E7950" s="14"/>
    </row>
    <row r="7951" spans="5:5" x14ac:dyDescent="0.3">
      <c r="E7951" s="14"/>
    </row>
    <row r="7952" spans="5:5" x14ac:dyDescent="0.3">
      <c r="E7952" s="14"/>
    </row>
    <row r="7953" spans="5:5" x14ac:dyDescent="0.3">
      <c r="E7953" s="14"/>
    </row>
    <row r="7954" spans="5:5" x14ac:dyDescent="0.3">
      <c r="E7954" s="14"/>
    </row>
    <row r="7955" spans="5:5" x14ac:dyDescent="0.3">
      <c r="E7955" s="14"/>
    </row>
    <row r="7956" spans="5:5" x14ac:dyDescent="0.3">
      <c r="E7956" s="14"/>
    </row>
    <row r="7957" spans="5:5" x14ac:dyDescent="0.3">
      <c r="E7957" s="14"/>
    </row>
    <row r="7958" spans="5:5" x14ac:dyDescent="0.3">
      <c r="E7958" s="14"/>
    </row>
    <row r="7959" spans="5:5" x14ac:dyDescent="0.3">
      <c r="E7959" s="14"/>
    </row>
    <row r="7960" spans="5:5" x14ac:dyDescent="0.3">
      <c r="E7960" s="14"/>
    </row>
    <row r="7961" spans="5:5" x14ac:dyDescent="0.3">
      <c r="E7961" s="14"/>
    </row>
    <row r="7962" spans="5:5" x14ac:dyDescent="0.3">
      <c r="E7962" s="14"/>
    </row>
    <row r="7963" spans="5:5" x14ac:dyDescent="0.3">
      <c r="E7963" s="14"/>
    </row>
    <row r="7964" spans="5:5" x14ac:dyDescent="0.3">
      <c r="E7964" s="14"/>
    </row>
    <row r="7965" spans="5:5" x14ac:dyDescent="0.3">
      <c r="E7965" s="14"/>
    </row>
    <row r="7966" spans="5:5" x14ac:dyDescent="0.3">
      <c r="E7966" s="14"/>
    </row>
    <row r="7967" spans="5:5" x14ac:dyDescent="0.3">
      <c r="E7967" s="14"/>
    </row>
    <row r="7968" spans="5:5" x14ac:dyDescent="0.3">
      <c r="E7968" s="14"/>
    </row>
    <row r="7969" spans="5:5" x14ac:dyDescent="0.3">
      <c r="E7969" s="14"/>
    </row>
    <row r="7970" spans="5:5" x14ac:dyDescent="0.3">
      <c r="E7970" s="14"/>
    </row>
    <row r="7971" spans="5:5" x14ac:dyDescent="0.3">
      <c r="E7971" s="14"/>
    </row>
    <row r="7972" spans="5:5" x14ac:dyDescent="0.3">
      <c r="E7972" s="14"/>
    </row>
    <row r="7973" spans="5:5" x14ac:dyDescent="0.3">
      <c r="E7973" s="14"/>
    </row>
    <row r="7974" spans="5:5" x14ac:dyDescent="0.3">
      <c r="E7974" s="14"/>
    </row>
    <row r="7975" spans="5:5" x14ac:dyDescent="0.3">
      <c r="E7975" s="14"/>
    </row>
    <row r="7976" spans="5:5" x14ac:dyDescent="0.3">
      <c r="E7976" s="14"/>
    </row>
    <row r="7977" spans="5:5" x14ac:dyDescent="0.3">
      <c r="E7977" s="14"/>
    </row>
    <row r="7978" spans="5:5" x14ac:dyDescent="0.3">
      <c r="E7978" s="14"/>
    </row>
    <row r="7979" spans="5:5" x14ac:dyDescent="0.3">
      <c r="E7979" s="14"/>
    </row>
    <row r="7980" spans="5:5" x14ac:dyDescent="0.3">
      <c r="E7980" s="14"/>
    </row>
    <row r="7981" spans="5:5" x14ac:dyDescent="0.3">
      <c r="E7981" s="14"/>
    </row>
    <row r="7982" spans="5:5" x14ac:dyDescent="0.3">
      <c r="E7982" s="14"/>
    </row>
    <row r="7983" spans="5:5" x14ac:dyDescent="0.3">
      <c r="E7983" s="14"/>
    </row>
    <row r="7984" spans="5:5" x14ac:dyDescent="0.3">
      <c r="E7984" s="14"/>
    </row>
    <row r="7985" spans="5:5" x14ac:dyDescent="0.3">
      <c r="E7985" s="14"/>
    </row>
    <row r="7986" spans="5:5" x14ac:dyDescent="0.3">
      <c r="E7986" s="14"/>
    </row>
    <row r="7987" spans="5:5" x14ac:dyDescent="0.3">
      <c r="E7987" s="14"/>
    </row>
    <row r="7988" spans="5:5" x14ac:dyDescent="0.3">
      <c r="E7988" s="14"/>
    </row>
    <row r="7989" spans="5:5" x14ac:dyDescent="0.3">
      <c r="E7989" s="14"/>
    </row>
    <row r="7990" spans="5:5" x14ac:dyDescent="0.3">
      <c r="E7990" s="14"/>
    </row>
    <row r="7991" spans="5:5" x14ac:dyDescent="0.3">
      <c r="E7991" s="14"/>
    </row>
    <row r="7992" spans="5:5" x14ac:dyDescent="0.3">
      <c r="E7992" s="14"/>
    </row>
    <row r="7993" spans="5:5" x14ac:dyDescent="0.3">
      <c r="E7993" s="14"/>
    </row>
    <row r="7994" spans="5:5" x14ac:dyDescent="0.3">
      <c r="E7994" s="14"/>
    </row>
    <row r="7995" spans="5:5" x14ac:dyDescent="0.3">
      <c r="E7995" s="14"/>
    </row>
    <row r="7996" spans="5:5" x14ac:dyDescent="0.3">
      <c r="E7996" s="14"/>
    </row>
    <row r="7997" spans="5:5" x14ac:dyDescent="0.3">
      <c r="E7997" s="14"/>
    </row>
    <row r="7998" spans="5:5" x14ac:dyDescent="0.3">
      <c r="E7998" s="14"/>
    </row>
    <row r="7999" spans="5:5" x14ac:dyDescent="0.3">
      <c r="E7999" s="14"/>
    </row>
    <row r="8000" spans="5:5" x14ac:dyDescent="0.3">
      <c r="E8000" s="14"/>
    </row>
    <row r="8001" spans="5:5" x14ac:dyDescent="0.3">
      <c r="E8001" s="14"/>
    </row>
    <row r="8002" spans="5:5" x14ac:dyDescent="0.3">
      <c r="E8002" s="14"/>
    </row>
    <row r="8003" spans="5:5" x14ac:dyDescent="0.3">
      <c r="E8003" s="14"/>
    </row>
    <row r="8004" spans="5:5" x14ac:dyDescent="0.3">
      <c r="E8004" s="14"/>
    </row>
    <row r="8005" spans="5:5" x14ac:dyDescent="0.3">
      <c r="E8005" s="14"/>
    </row>
    <row r="8006" spans="5:5" x14ac:dyDescent="0.3">
      <c r="E8006" s="14"/>
    </row>
    <row r="8007" spans="5:5" x14ac:dyDescent="0.3">
      <c r="E8007" s="14"/>
    </row>
    <row r="8008" spans="5:5" x14ac:dyDescent="0.3">
      <c r="E8008" s="14"/>
    </row>
    <row r="8009" spans="5:5" x14ac:dyDescent="0.3">
      <c r="E8009" s="14"/>
    </row>
    <row r="8010" spans="5:5" x14ac:dyDescent="0.3">
      <c r="E8010" s="14"/>
    </row>
    <row r="8011" spans="5:5" x14ac:dyDescent="0.3">
      <c r="E8011" s="14"/>
    </row>
    <row r="8012" spans="5:5" x14ac:dyDescent="0.3">
      <c r="E8012" s="14"/>
    </row>
    <row r="8013" spans="5:5" x14ac:dyDescent="0.3">
      <c r="E8013" s="14"/>
    </row>
    <row r="8014" spans="5:5" x14ac:dyDescent="0.3">
      <c r="E8014" s="14"/>
    </row>
    <row r="8015" spans="5:5" x14ac:dyDescent="0.3">
      <c r="E8015" s="14"/>
    </row>
    <row r="8016" spans="5:5" x14ac:dyDescent="0.3">
      <c r="E8016" s="14"/>
    </row>
    <row r="8017" spans="5:5" x14ac:dyDescent="0.3">
      <c r="E8017" s="14"/>
    </row>
    <row r="8018" spans="5:5" x14ac:dyDescent="0.3">
      <c r="E8018" s="14"/>
    </row>
    <row r="8019" spans="5:5" x14ac:dyDescent="0.3">
      <c r="E8019" s="14"/>
    </row>
    <row r="8020" spans="5:5" x14ac:dyDescent="0.3">
      <c r="E8020" s="14"/>
    </row>
    <row r="8021" spans="5:5" x14ac:dyDescent="0.3">
      <c r="E8021" s="14"/>
    </row>
    <row r="8022" spans="5:5" x14ac:dyDescent="0.3">
      <c r="E8022" s="14"/>
    </row>
    <row r="8023" spans="5:5" x14ac:dyDescent="0.3">
      <c r="E8023" s="14"/>
    </row>
    <row r="8024" spans="5:5" x14ac:dyDescent="0.3">
      <c r="E8024" s="14"/>
    </row>
    <row r="8025" spans="5:5" x14ac:dyDescent="0.3">
      <c r="E8025" s="14"/>
    </row>
    <row r="8026" spans="5:5" x14ac:dyDescent="0.3">
      <c r="E8026" s="14"/>
    </row>
    <row r="8027" spans="5:5" x14ac:dyDescent="0.3">
      <c r="E8027" s="14"/>
    </row>
    <row r="8028" spans="5:5" x14ac:dyDescent="0.3">
      <c r="E8028" s="14"/>
    </row>
    <row r="8029" spans="5:5" x14ac:dyDescent="0.3">
      <c r="E8029" s="14"/>
    </row>
    <row r="8030" spans="5:5" x14ac:dyDescent="0.3">
      <c r="E8030" s="14"/>
    </row>
    <row r="8031" spans="5:5" x14ac:dyDescent="0.3">
      <c r="E8031" s="14"/>
    </row>
    <row r="8032" spans="5:5" x14ac:dyDescent="0.3">
      <c r="E8032" s="14"/>
    </row>
    <row r="8033" spans="5:5" x14ac:dyDescent="0.3">
      <c r="E8033" s="14"/>
    </row>
    <row r="8034" spans="5:5" x14ac:dyDescent="0.3">
      <c r="E8034" s="14"/>
    </row>
    <row r="8035" spans="5:5" x14ac:dyDescent="0.3">
      <c r="E8035" s="14"/>
    </row>
    <row r="8036" spans="5:5" x14ac:dyDescent="0.3">
      <c r="E8036" s="14"/>
    </row>
    <row r="8037" spans="5:5" x14ac:dyDescent="0.3">
      <c r="E8037" s="14"/>
    </row>
    <row r="8038" spans="5:5" x14ac:dyDescent="0.3">
      <c r="E8038" s="14"/>
    </row>
    <row r="8039" spans="5:5" x14ac:dyDescent="0.3">
      <c r="E8039" s="14"/>
    </row>
    <row r="8040" spans="5:5" x14ac:dyDescent="0.3">
      <c r="E8040" s="14"/>
    </row>
    <row r="8041" spans="5:5" x14ac:dyDescent="0.3">
      <c r="E8041" s="14"/>
    </row>
    <row r="8042" spans="5:5" x14ac:dyDescent="0.3">
      <c r="E8042" s="14"/>
    </row>
    <row r="8043" spans="5:5" x14ac:dyDescent="0.3">
      <c r="E8043" s="14"/>
    </row>
    <row r="8044" spans="5:5" x14ac:dyDescent="0.3">
      <c r="E8044" s="14"/>
    </row>
    <row r="8045" spans="5:5" x14ac:dyDescent="0.3">
      <c r="E8045" s="14"/>
    </row>
    <row r="8046" spans="5:5" x14ac:dyDescent="0.3">
      <c r="E8046" s="14"/>
    </row>
    <row r="8047" spans="5:5" x14ac:dyDescent="0.3">
      <c r="E8047" s="14"/>
    </row>
    <row r="8048" spans="5:5" x14ac:dyDescent="0.3">
      <c r="E8048" s="14"/>
    </row>
    <row r="8049" spans="5:5" x14ac:dyDescent="0.3">
      <c r="E8049" s="14"/>
    </row>
    <row r="8050" spans="5:5" x14ac:dyDescent="0.3">
      <c r="E8050" s="14"/>
    </row>
    <row r="8051" spans="5:5" x14ac:dyDescent="0.3">
      <c r="E8051" s="14"/>
    </row>
    <row r="8052" spans="5:5" x14ac:dyDescent="0.3">
      <c r="E8052" s="14"/>
    </row>
    <row r="8053" spans="5:5" x14ac:dyDescent="0.3">
      <c r="E8053" s="14"/>
    </row>
    <row r="8054" spans="5:5" x14ac:dyDescent="0.3">
      <c r="E8054" s="14"/>
    </row>
    <row r="8055" spans="5:5" x14ac:dyDescent="0.3">
      <c r="E8055" s="14"/>
    </row>
    <row r="8056" spans="5:5" x14ac:dyDescent="0.3">
      <c r="E8056" s="14"/>
    </row>
    <row r="8057" spans="5:5" x14ac:dyDescent="0.3">
      <c r="E8057" s="14"/>
    </row>
    <row r="8058" spans="5:5" x14ac:dyDescent="0.3">
      <c r="E8058" s="14"/>
    </row>
    <row r="8059" spans="5:5" x14ac:dyDescent="0.3">
      <c r="E8059" s="14"/>
    </row>
    <row r="8060" spans="5:5" x14ac:dyDescent="0.3">
      <c r="E8060" s="14"/>
    </row>
    <row r="8061" spans="5:5" x14ac:dyDescent="0.3">
      <c r="E8061" s="14"/>
    </row>
    <row r="8062" spans="5:5" x14ac:dyDescent="0.3">
      <c r="E8062" s="14"/>
    </row>
    <row r="8063" spans="5:5" x14ac:dyDescent="0.3">
      <c r="E8063" s="14"/>
    </row>
    <row r="8064" spans="5:5" x14ac:dyDescent="0.3">
      <c r="E8064" s="14"/>
    </row>
    <row r="8065" spans="5:5" x14ac:dyDescent="0.3">
      <c r="E8065" s="14"/>
    </row>
    <row r="8066" spans="5:5" x14ac:dyDescent="0.3">
      <c r="E8066" s="14"/>
    </row>
    <row r="8067" spans="5:5" x14ac:dyDescent="0.3">
      <c r="E8067" s="14"/>
    </row>
    <row r="8068" spans="5:5" x14ac:dyDescent="0.3">
      <c r="E8068" s="14"/>
    </row>
    <row r="8069" spans="5:5" x14ac:dyDescent="0.3">
      <c r="E8069" s="14"/>
    </row>
    <row r="8070" spans="5:5" x14ac:dyDescent="0.3">
      <c r="E8070" s="14"/>
    </row>
    <row r="8071" spans="5:5" x14ac:dyDescent="0.3">
      <c r="E8071" s="14"/>
    </row>
    <row r="8072" spans="5:5" x14ac:dyDescent="0.3">
      <c r="E8072" s="14"/>
    </row>
    <row r="8073" spans="5:5" x14ac:dyDescent="0.3">
      <c r="E8073" s="14"/>
    </row>
    <row r="8074" spans="5:5" x14ac:dyDescent="0.3">
      <c r="E8074" s="14"/>
    </row>
    <row r="8075" spans="5:5" x14ac:dyDescent="0.3">
      <c r="E8075" s="14"/>
    </row>
    <row r="8076" spans="5:5" x14ac:dyDescent="0.3">
      <c r="E8076" s="14"/>
    </row>
    <row r="8077" spans="5:5" x14ac:dyDescent="0.3">
      <c r="E8077" s="14"/>
    </row>
    <row r="8078" spans="5:5" x14ac:dyDescent="0.3">
      <c r="E8078" s="14"/>
    </row>
    <row r="8079" spans="5:5" x14ac:dyDescent="0.3">
      <c r="E8079" s="14"/>
    </row>
    <row r="8080" spans="5:5" x14ac:dyDescent="0.3">
      <c r="E8080" s="14"/>
    </row>
    <row r="8081" spans="5:5" x14ac:dyDescent="0.3">
      <c r="E8081" s="14"/>
    </row>
    <row r="8082" spans="5:5" x14ac:dyDescent="0.3">
      <c r="E8082" s="14"/>
    </row>
    <row r="8083" spans="5:5" x14ac:dyDescent="0.3">
      <c r="E8083" s="14"/>
    </row>
    <row r="8084" spans="5:5" x14ac:dyDescent="0.3">
      <c r="E8084" s="14"/>
    </row>
    <row r="8085" spans="5:5" x14ac:dyDescent="0.3">
      <c r="E8085" s="14"/>
    </row>
    <row r="8086" spans="5:5" x14ac:dyDescent="0.3">
      <c r="E8086" s="14"/>
    </row>
    <row r="8087" spans="5:5" x14ac:dyDescent="0.3">
      <c r="E8087" s="14"/>
    </row>
    <row r="8088" spans="5:5" x14ac:dyDescent="0.3">
      <c r="E8088" s="14"/>
    </row>
    <row r="8089" spans="5:5" x14ac:dyDescent="0.3">
      <c r="E8089" s="14"/>
    </row>
    <row r="8090" spans="5:5" x14ac:dyDescent="0.3">
      <c r="E8090" s="14"/>
    </row>
    <row r="8091" spans="5:5" x14ac:dyDescent="0.3">
      <c r="E8091" s="14"/>
    </row>
    <row r="8092" spans="5:5" x14ac:dyDescent="0.3">
      <c r="E8092" s="14"/>
    </row>
    <row r="8093" spans="5:5" x14ac:dyDescent="0.3">
      <c r="E8093" s="14"/>
    </row>
    <row r="8094" spans="5:5" x14ac:dyDescent="0.3">
      <c r="E8094" s="14"/>
    </row>
    <row r="8095" spans="5:5" x14ac:dyDescent="0.3">
      <c r="E8095" s="14"/>
    </row>
    <row r="8096" spans="5:5" x14ac:dyDescent="0.3">
      <c r="E8096" s="14"/>
    </row>
    <row r="8097" spans="5:5" x14ac:dyDescent="0.3">
      <c r="E8097" s="14"/>
    </row>
    <row r="8098" spans="5:5" x14ac:dyDescent="0.3">
      <c r="E8098" s="14"/>
    </row>
    <row r="8099" spans="5:5" x14ac:dyDescent="0.3">
      <c r="E8099" s="14"/>
    </row>
    <row r="8100" spans="5:5" x14ac:dyDescent="0.3">
      <c r="E8100" s="14"/>
    </row>
    <row r="8101" spans="5:5" x14ac:dyDescent="0.3">
      <c r="E8101" s="14"/>
    </row>
    <row r="8102" spans="5:5" x14ac:dyDescent="0.3">
      <c r="E8102" s="14"/>
    </row>
    <row r="8103" spans="5:5" x14ac:dyDescent="0.3">
      <c r="E8103" s="14"/>
    </row>
    <row r="8104" spans="5:5" x14ac:dyDescent="0.3">
      <c r="E8104" s="14"/>
    </row>
    <row r="8105" spans="5:5" x14ac:dyDescent="0.3">
      <c r="E8105" s="14"/>
    </row>
    <row r="8106" spans="5:5" x14ac:dyDescent="0.3">
      <c r="E8106" s="14"/>
    </row>
    <row r="8107" spans="5:5" x14ac:dyDescent="0.3">
      <c r="E8107" s="14"/>
    </row>
    <row r="8108" spans="5:5" x14ac:dyDescent="0.3">
      <c r="E8108" s="14"/>
    </row>
    <row r="8109" spans="5:5" x14ac:dyDescent="0.3">
      <c r="E8109" s="14"/>
    </row>
    <row r="8110" spans="5:5" x14ac:dyDescent="0.3">
      <c r="E8110" s="14"/>
    </row>
    <row r="8111" spans="5:5" x14ac:dyDescent="0.3">
      <c r="E8111" s="14"/>
    </row>
    <row r="8112" spans="5:5" x14ac:dyDescent="0.3">
      <c r="E8112" s="14"/>
    </row>
    <row r="8113" spans="5:5" x14ac:dyDescent="0.3">
      <c r="E8113" s="14"/>
    </row>
    <row r="8114" spans="5:5" x14ac:dyDescent="0.3">
      <c r="E8114" s="14"/>
    </row>
    <row r="8115" spans="5:5" x14ac:dyDescent="0.3">
      <c r="E8115" s="14"/>
    </row>
    <row r="8116" spans="5:5" x14ac:dyDescent="0.3">
      <c r="E8116" s="14"/>
    </row>
    <row r="8117" spans="5:5" x14ac:dyDescent="0.3">
      <c r="E8117" s="14"/>
    </row>
    <row r="8118" spans="5:5" x14ac:dyDescent="0.3">
      <c r="E8118" s="14"/>
    </row>
    <row r="8119" spans="5:5" x14ac:dyDescent="0.3">
      <c r="E8119" s="14"/>
    </row>
    <row r="8120" spans="5:5" x14ac:dyDescent="0.3">
      <c r="E8120" s="14"/>
    </row>
    <row r="8121" spans="5:5" x14ac:dyDescent="0.3">
      <c r="E8121" s="14"/>
    </row>
    <row r="8122" spans="5:5" x14ac:dyDescent="0.3">
      <c r="E8122" s="14"/>
    </row>
    <row r="8123" spans="5:5" x14ac:dyDescent="0.3">
      <c r="E8123" s="14"/>
    </row>
    <row r="8124" spans="5:5" x14ac:dyDescent="0.3">
      <c r="E8124" s="14"/>
    </row>
    <row r="8125" spans="5:5" x14ac:dyDescent="0.3">
      <c r="E8125" s="14"/>
    </row>
    <row r="8126" spans="5:5" x14ac:dyDescent="0.3">
      <c r="E8126" s="14"/>
    </row>
    <row r="8127" spans="5:5" x14ac:dyDescent="0.3">
      <c r="E8127" s="14"/>
    </row>
    <row r="8128" spans="5:5" x14ac:dyDescent="0.3">
      <c r="E8128" s="14"/>
    </row>
    <row r="8129" spans="5:5" x14ac:dyDescent="0.3">
      <c r="E8129" s="14"/>
    </row>
    <row r="8130" spans="5:5" x14ac:dyDescent="0.3">
      <c r="E8130" s="14"/>
    </row>
    <row r="8131" spans="5:5" x14ac:dyDescent="0.3">
      <c r="E8131" s="14"/>
    </row>
    <row r="8132" spans="5:5" x14ac:dyDescent="0.3">
      <c r="E8132" s="14"/>
    </row>
    <row r="8133" spans="5:5" x14ac:dyDescent="0.3">
      <c r="E8133" s="14"/>
    </row>
    <row r="8134" spans="5:5" x14ac:dyDescent="0.3">
      <c r="E8134" s="14"/>
    </row>
    <row r="8135" spans="5:5" x14ac:dyDescent="0.3">
      <c r="E8135" s="14"/>
    </row>
    <row r="8136" spans="5:5" x14ac:dyDescent="0.3">
      <c r="E8136" s="14"/>
    </row>
    <row r="8137" spans="5:5" x14ac:dyDescent="0.3">
      <c r="E8137" s="14"/>
    </row>
    <row r="8138" spans="5:5" x14ac:dyDescent="0.3">
      <c r="E8138" s="14"/>
    </row>
    <row r="8139" spans="5:5" x14ac:dyDescent="0.3">
      <c r="E8139" s="14"/>
    </row>
    <row r="8140" spans="5:5" x14ac:dyDescent="0.3">
      <c r="E8140" s="14"/>
    </row>
    <row r="8141" spans="5:5" x14ac:dyDescent="0.3">
      <c r="E8141" s="14"/>
    </row>
    <row r="8142" spans="5:5" x14ac:dyDescent="0.3">
      <c r="E8142" s="14"/>
    </row>
    <row r="8143" spans="5:5" x14ac:dyDescent="0.3">
      <c r="E8143" s="14"/>
    </row>
    <row r="8144" spans="5:5" x14ac:dyDescent="0.3">
      <c r="E8144" s="14"/>
    </row>
    <row r="8145" spans="5:5" x14ac:dyDescent="0.3">
      <c r="E8145" s="14"/>
    </row>
    <row r="8146" spans="5:5" x14ac:dyDescent="0.3">
      <c r="E8146" s="14"/>
    </row>
    <row r="8147" spans="5:5" x14ac:dyDescent="0.3">
      <c r="E8147" s="14"/>
    </row>
    <row r="8148" spans="5:5" x14ac:dyDescent="0.3">
      <c r="E8148" s="14"/>
    </row>
    <row r="8149" spans="5:5" x14ac:dyDescent="0.3">
      <c r="E8149" s="14"/>
    </row>
    <row r="8150" spans="5:5" x14ac:dyDescent="0.3">
      <c r="E8150" s="14"/>
    </row>
    <row r="8151" spans="5:5" x14ac:dyDescent="0.3">
      <c r="E8151" s="14"/>
    </row>
    <row r="8152" spans="5:5" x14ac:dyDescent="0.3">
      <c r="E8152" s="14"/>
    </row>
    <row r="8153" spans="5:5" x14ac:dyDescent="0.3">
      <c r="E8153" s="14"/>
    </row>
    <row r="8154" spans="5:5" x14ac:dyDescent="0.3">
      <c r="E8154" s="14"/>
    </row>
    <row r="8155" spans="5:5" x14ac:dyDescent="0.3">
      <c r="E8155" s="14"/>
    </row>
    <row r="8156" spans="5:5" x14ac:dyDescent="0.3">
      <c r="E8156" s="14"/>
    </row>
    <row r="8157" spans="5:5" x14ac:dyDescent="0.3">
      <c r="E8157" s="14"/>
    </row>
    <row r="8158" spans="5:5" x14ac:dyDescent="0.3">
      <c r="E8158" s="14"/>
    </row>
    <row r="8159" spans="5:5" x14ac:dyDescent="0.3">
      <c r="E8159" s="14"/>
    </row>
    <row r="8160" spans="5:5" x14ac:dyDescent="0.3">
      <c r="E8160" s="14"/>
    </row>
    <row r="8161" spans="5:5" x14ac:dyDescent="0.3">
      <c r="E8161" s="14"/>
    </row>
    <row r="8162" spans="5:5" x14ac:dyDescent="0.3">
      <c r="E8162" s="14"/>
    </row>
    <row r="8163" spans="5:5" x14ac:dyDescent="0.3">
      <c r="E8163" s="14"/>
    </row>
    <row r="8164" spans="5:5" x14ac:dyDescent="0.3">
      <c r="E8164" s="14"/>
    </row>
    <row r="8165" spans="5:5" x14ac:dyDescent="0.3">
      <c r="E8165" s="14"/>
    </row>
    <row r="8166" spans="5:5" x14ac:dyDescent="0.3">
      <c r="E8166" s="14"/>
    </row>
    <row r="8167" spans="5:5" x14ac:dyDescent="0.3">
      <c r="E8167" s="14"/>
    </row>
    <row r="8168" spans="5:5" x14ac:dyDescent="0.3">
      <c r="E8168" s="14"/>
    </row>
    <row r="8169" spans="5:5" x14ac:dyDescent="0.3">
      <c r="E8169" s="14"/>
    </row>
    <row r="8170" spans="5:5" x14ac:dyDescent="0.3">
      <c r="E8170" s="14"/>
    </row>
    <row r="8171" spans="5:5" x14ac:dyDescent="0.3">
      <c r="E8171" s="14"/>
    </row>
    <row r="8172" spans="5:5" x14ac:dyDescent="0.3">
      <c r="E8172" s="14"/>
    </row>
    <row r="8173" spans="5:5" x14ac:dyDescent="0.3">
      <c r="E8173" s="14"/>
    </row>
    <row r="8174" spans="5:5" x14ac:dyDescent="0.3">
      <c r="E8174" s="14"/>
    </row>
    <row r="8175" spans="5:5" x14ac:dyDescent="0.3">
      <c r="E8175" s="14"/>
    </row>
    <row r="8176" spans="5:5" x14ac:dyDescent="0.3">
      <c r="E8176" s="14"/>
    </row>
    <row r="8177" spans="5:5" x14ac:dyDescent="0.3">
      <c r="E8177" s="14"/>
    </row>
    <row r="8178" spans="5:5" x14ac:dyDescent="0.3">
      <c r="E8178" s="14"/>
    </row>
    <row r="8179" spans="5:5" x14ac:dyDescent="0.3">
      <c r="E8179" s="14"/>
    </row>
    <row r="8180" spans="5:5" x14ac:dyDescent="0.3">
      <c r="E8180" s="14"/>
    </row>
    <row r="8181" spans="5:5" x14ac:dyDescent="0.3">
      <c r="E8181" s="14"/>
    </row>
    <row r="8182" spans="5:5" x14ac:dyDescent="0.3">
      <c r="E8182" s="14"/>
    </row>
    <row r="8183" spans="5:5" x14ac:dyDescent="0.3">
      <c r="E8183" s="14"/>
    </row>
    <row r="8184" spans="5:5" x14ac:dyDescent="0.3">
      <c r="E8184" s="14"/>
    </row>
    <row r="8185" spans="5:5" x14ac:dyDescent="0.3">
      <c r="E8185" s="14"/>
    </row>
    <row r="8186" spans="5:5" x14ac:dyDescent="0.3">
      <c r="E8186" s="14"/>
    </row>
    <row r="8187" spans="5:5" x14ac:dyDescent="0.3">
      <c r="E8187" s="14"/>
    </row>
    <row r="8188" spans="5:5" x14ac:dyDescent="0.3">
      <c r="E8188" s="14"/>
    </row>
    <row r="8189" spans="5:5" x14ac:dyDescent="0.3">
      <c r="E8189" s="14"/>
    </row>
    <row r="8190" spans="5:5" x14ac:dyDescent="0.3">
      <c r="E8190" s="14"/>
    </row>
    <row r="8191" spans="5:5" x14ac:dyDescent="0.3">
      <c r="E8191" s="14"/>
    </row>
    <row r="8192" spans="5:5" x14ac:dyDescent="0.3">
      <c r="E8192" s="14"/>
    </row>
    <row r="8193" spans="5:5" x14ac:dyDescent="0.3">
      <c r="E8193" s="14"/>
    </row>
    <row r="8194" spans="5:5" x14ac:dyDescent="0.3">
      <c r="E8194" s="14"/>
    </row>
    <row r="8195" spans="5:5" x14ac:dyDescent="0.3">
      <c r="E8195" s="14"/>
    </row>
    <row r="8196" spans="5:5" x14ac:dyDescent="0.3">
      <c r="E8196" s="14"/>
    </row>
    <row r="8197" spans="5:5" x14ac:dyDescent="0.3">
      <c r="E8197" s="14"/>
    </row>
    <row r="8198" spans="5:5" x14ac:dyDescent="0.3">
      <c r="E8198" s="14"/>
    </row>
    <row r="8199" spans="5:5" x14ac:dyDescent="0.3">
      <c r="E8199" s="14"/>
    </row>
    <row r="8200" spans="5:5" x14ac:dyDescent="0.3">
      <c r="E8200" s="14"/>
    </row>
    <row r="8201" spans="5:5" x14ac:dyDescent="0.3">
      <c r="E8201" s="14"/>
    </row>
    <row r="8202" spans="5:5" x14ac:dyDescent="0.3">
      <c r="E8202" s="14"/>
    </row>
    <row r="8203" spans="5:5" x14ac:dyDescent="0.3">
      <c r="E8203" s="14"/>
    </row>
    <row r="8204" spans="5:5" x14ac:dyDescent="0.3">
      <c r="E8204" s="14"/>
    </row>
    <row r="8205" spans="5:5" x14ac:dyDescent="0.3">
      <c r="E8205" s="14"/>
    </row>
    <row r="8206" spans="5:5" x14ac:dyDescent="0.3">
      <c r="E8206" s="14"/>
    </row>
    <row r="8207" spans="5:5" x14ac:dyDescent="0.3">
      <c r="E8207" s="14"/>
    </row>
    <row r="8208" spans="5:5" x14ac:dyDescent="0.3">
      <c r="E8208" s="14"/>
    </row>
    <row r="8209" spans="5:5" x14ac:dyDescent="0.3">
      <c r="E8209" s="14"/>
    </row>
    <row r="8210" spans="5:5" x14ac:dyDescent="0.3">
      <c r="E8210" s="14"/>
    </row>
    <row r="8211" spans="5:5" x14ac:dyDescent="0.3">
      <c r="E8211" s="14"/>
    </row>
    <row r="8212" spans="5:5" x14ac:dyDescent="0.3">
      <c r="E8212" s="14"/>
    </row>
    <row r="8213" spans="5:5" x14ac:dyDescent="0.3">
      <c r="E8213" s="14"/>
    </row>
    <row r="8214" spans="5:5" x14ac:dyDescent="0.3">
      <c r="E8214" s="14"/>
    </row>
    <row r="8215" spans="5:5" x14ac:dyDescent="0.3">
      <c r="E8215" s="14"/>
    </row>
    <row r="8216" spans="5:5" x14ac:dyDescent="0.3">
      <c r="E8216" s="14"/>
    </row>
    <row r="8217" spans="5:5" x14ac:dyDescent="0.3">
      <c r="E8217" s="14"/>
    </row>
    <row r="8218" spans="5:5" x14ac:dyDescent="0.3">
      <c r="E8218" s="14"/>
    </row>
    <row r="8219" spans="5:5" x14ac:dyDescent="0.3">
      <c r="E8219" s="14"/>
    </row>
    <row r="8220" spans="5:5" x14ac:dyDescent="0.3">
      <c r="E8220" s="14"/>
    </row>
    <row r="8221" spans="5:5" x14ac:dyDescent="0.3">
      <c r="E8221" s="14"/>
    </row>
    <row r="8222" spans="5:5" x14ac:dyDescent="0.3">
      <c r="E8222" s="14"/>
    </row>
    <row r="8223" spans="5:5" x14ac:dyDescent="0.3">
      <c r="E8223" s="14"/>
    </row>
    <row r="8224" spans="5:5" x14ac:dyDescent="0.3">
      <c r="E8224" s="14"/>
    </row>
    <row r="8225" spans="5:5" x14ac:dyDescent="0.3">
      <c r="E8225" s="14"/>
    </row>
    <row r="8226" spans="5:5" x14ac:dyDescent="0.3">
      <c r="E8226" s="14"/>
    </row>
    <row r="8227" spans="5:5" x14ac:dyDescent="0.3">
      <c r="E8227" s="14"/>
    </row>
    <row r="8228" spans="5:5" x14ac:dyDescent="0.3">
      <c r="E8228" s="14"/>
    </row>
    <row r="8229" spans="5:5" x14ac:dyDescent="0.3">
      <c r="E8229" s="14"/>
    </row>
    <row r="8230" spans="5:5" x14ac:dyDescent="0.3">
      <c r="E8230" s="14"/>
    </row>
    <row r="8231" spans="5:5" x14ac:dyDescent="0.3">
      <c r="E8231" s="14"/>
    </row>
    <row r="8232" spans="5:5" x14ac:dyDescent="0.3">
      <c r="E8232" s="14"/>
    </row>
    <row r="8233" spans="5:5" x14ac:dyDescent="0.3">
      <c r="E8233" s="14"/>
    </row>
    <row r="8234" spans="5:5" x14ac:dyDescent="0.3">
      <c r="E8234" s="14"/>
    </row>
    <row r="8235" spans="5:5" x14ac:dyDescent="0.3">
      <c r="E8235" s="14"/>
    </row>
    <row r="8236" spans="5:5" x14ac:dyDescent="0.3">
      <c r="E8236" s="14"/>
    </row>
    <row r="8237" spans="5:5" x14ac:dyDescent="0.3">
      <c r="E8237" s="14"/>
    </row>
    <row r="8238" spans="5:5" x14ac:dyDescent="0.3">
      <c r="E8238" s="14"/>
    </row>
    <row r="8239" spans="5:5" x14ac:dyDescent="0.3">
      <c r="E8239" s="14"/>
    </row>
    <row r="8240" spans="5:5" x14ac:dyDescent="0.3">
      <c r="E8240" s="14"/>
    </row>
    <row r="8241" spans="5:5" x14ac:dyDescent="0.3">
      <c r="E8241" s="14"/>
    </row>
    <row r="8242" spans="5:5" x14ac:dyDescent="0.3">
      <c r="E8242" s="14"/>
    </row>
    <row r="8243" spans="5:5" x14ac:dyDescent="0.3">
      <c r="E8243" s="14"/>
    </row>
    <row r="8244" spans="5:5" x14ac:dyDescent="0.3">
      <c r="E8244" s="14"/>
    </row>
    <row r="8245" spans="5:5" x14ac:dyDescent="0.3">
      <c r="E8245" s="14"/>
    </row>
    <row r="8246" spans="5:5" x14ac:dyDescent="0.3">
      <c r="E8246" s="14"/>
    </row>
    <row r="8247" spans="5:5" x14ac:dyDescent="0.3">
      <c r="E8247" s="14"/>
    </row>
    <row r="8248" spans="5:5" x14ac:dyDescent="0.3">
      <c r="E8248" s="14"/>
    </row>
    <row r="8249" spans="5:5" x14ac:dyDescent="0.3">
      <c r="E8249" s="14"/>
    </row>
    <row r="8250" spans="5:5" x14ac:dyDescent="0.3">
      <c r="E8250" s="14"/>
    </row>
    <row r="8251" spans="5:5" x14ac:dyDescent="0.3">
      <c r="E8251" s="14"/>
    </row>
    <row r="8252" spans="5:5" x14ac:dyDescent="0.3">
      <c r="E8252" s="14"/>
    </row>
    <row r="8253" spans="5:5" x14ac:dyDescent="0.3">
      <c r="E8253" s="14"/>
    </row>
    <row r="8254" spans="5:5" x14ac:dyDescent="0.3">
      <c r="E8254" s="14"/>
    </row>
    <row r="8255" spans="5:5" x14ac:dyDescent="0.3">
      <c r="E8255" s="14"/>
    </row>
    <row r="8256" spans="5:5" x14ac:dyDescent="0.3">
      <c r="E8256" s="14"/>
    </row>
    <row r="8257" spans="5:5" x14ac:dyDescent="0.3">
      <c r="E8257" s="14"/>
    </row>
    <row r="8258" spans="5:5" x14ac:dyDescent="0.3">
      <c r="E8258" s="14"/>
    </row>
    <row r="8259" spans="5:5" x14ac:dyDescent="0.3">
      <c r="E8259" s="14"/>
    </row>
    <row r="8260" spans="5:5" x14ac:dyDescent="0.3">
      <c r="E8260" s="14"/>
    </row>
    <row r="8261" spans="5:5" x14ac:dyDescent="0.3">
      <c r="E8261" s="14"/>
    </row>
    <row r="8262" spans="5:5" x14ac:dyDescent="0.3">
      <c r="E8262" s="14"/>
    </row>
    <row r="8263" spans="5:5" x14ac:dyDescent="0.3">
      <c r="E8263" s="14"/>
    </row>
    <row r="8264" spans="5:5" x14ac:dyDescent="0.3">
      <c r="E8264" s="14"/>
    </row>
    <row r="8265" spans="5:5" x14ac:dyDescent="0.3">
      <c r="E8265" s="14"/>
    </row>
    <row r="8266" spans="5:5" x14ac:dyDescent="0.3">
      <c r="E8266" s="14"/>
    </row>
    <row r="8267" spans="5:5" x14ac:dyDescent="0.3">
      <c r="E8267" s="14"/>
    </row>
    <row r="8268" spans="5:5" x14ac:dyDescent="0.3">
      <c r="E8268" s="14"/>
    </row>
    <row r="8269" spans="5:5" x14ac:dyDescent="0.3">
      <c r="E8269" s="14"/>
    </row>
    <row r="8270" spans="5:5" x14ac:dyDescent="0.3">
      <c r="E8270" s="14"/>
    </row>
    <row r="8271" spans="5:5" x14ac:dyDescent="0.3">
      <c r="E8271" s="14"/>
    </row>
    <row r="8272" spans="5:5" x14ac:dyDescent="0.3">
      <c r="E8272" s="14"/>
    </row>
    <row r="8273" spans="5:5" x14ac:dyDescent="0.3">
      <c r="E8273" s="14"/>
    </row>
    <row r="8274" spans="5:5" x14ac:dyDescent="0.3">
      <c r="E8274" s="14"/>
    </row>
    <row r="8275" spans="5:5" x14ac:dyDescent="0.3">
      <c r="E8275" s="14"/>
    </row>
    <row r="8276" spans="5:5" x14ac:dyDescent="0.3">
      <c r="E8276" s="14"/>
    </row>
    <row r="8277" spans="5:5" x14ac:dyDescent="0.3">
      <c r="E8277" s="14"/>
    </row>
    <row r="8278" spans="5:5" x14ac:dyDescent="0.3">
      <c r="E8278" s="14"/>
    </row>
    <row r="8279" spans="5:5" x14ac:dyDescent="0.3">
      <c r="E8279" s="14"/>
    </row>
    <row r="8280" spans="5:5" x14ac:dyDescent="0.3">
      <c r="E8280" s="14"/>
    </row>
    <row r="8281" spans="5:5" x14ac:dyDescent="0.3">
      <c r="E8281" s="14"/>
    </row>
    <row r="8282" spans="5:5" x14ac:dyDescent="0.3">
      <c r="E8282" s="14"/>
    </row>
    <row r="8283" spans="5:5" x14ac:dyDescent="0.3">
      <c r="E8283" s="14"/>
    </row>
    <row r="8284" spans="5:5" x14ac:dyDescent="0.3">
      <c r="E8284" s="14"/>
    </row>
    <row r="8285" spans="5:5" x14ac:dyDescent="0.3">
      <c r="E8285" s="14"/>
    </row>
    <row r="8286" spans="5:5" x14ac:dyDescent="0.3">
      <c r="E8286" s="14"/>
    </row>
    <row r="8287" spans="5:5" x14ac:dyDescent="0.3">
      <c r="E8287" s="14"/>
    </row>
    <row r="8288" spans="5:5" x14ac:dyDescent="0.3">
      <c r="E8288" s="14"/>
    </row>
    <row r="8289" spans="5:5" x14ac:dyDescent="0.3">
      <c r="E8289" s="14"/>
    </row>
    <row r="8290" spans="5:5" x14ac:dyDescent="0.3">
      <c r="E8290" s="14"/>
    </row>
    <row r="8291" spans="5:5" x14ac:dyDescent="0.3">
      <c r="E8291" s="14"/>
    </row>
    <row r="8292" spans="5:5" x14ac:dyDescent="0.3">
      <c r="E8292" s="14"/>
    </row>
    <row r="8293" spans="5:5" x14ac:dyDescent="0.3">
      <c r="E8293" s="14"/>
    </row>
    <row r="8294" spans="5:5" x14ac:dyDescent="0.3">
      <c r="E8294" s="14"/>
    </row>
    <row r="8295" spans="5:5" x14ac:dyDescent="0.3">
      <c r="E8295" s="14"/>
    </row>
    <row r="8296" spans="5:5" x14ac:dyDescent="0.3">
      <c r="E8296" s="14"/>
    </row>
  </sheetData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21</vt:i4>
      </vt:variant>
    </vt:vector>
  </HeadingPairs>
  <TitlesOfParts>
    <vt:vector size="26" baseType="lpstr">
      <vt:lpstr>Sheet1</vt:lpstr>
      <vt:lpstr>update_mail</vt:lpstr>
      <vt:lpstr>marketupdate_data</vt:lpstr>
      <vt:lpstr>update_mail1</vt:lpstr>
      <vt:lpstr>Utima rilevazione inviata</vt:lpstr>
      <vt:lpstr>update_mail1!addressbcc</vt:lpstr>
      <vt:lpstr>addressbcc</vt:lpstr>
      <vt:lpstr>update_mail1!addresscc</vt:lpstr>
      <vt:lpstr>addresscc</vt:lpstr>
      <vt:lpstr>update_mail1!addressto</vt:lpstr>
      <vt:lpstr>addressto</vt:lpstr>
      <vt:lpstr>update_mail1!adresscc</vt:lpstr>
      <vt:lpstr>adresscc</vt:lpstr>
      <vt:lpstr>update_mail1!BODYTEXT</vt:lpstr>
      <vt:lpstr>BODYTEXT</vt:lpstr>
      <vt:lpstr>COPYBODYTEXT</vt:lpstr>
      <vt:lpstr>COPYDATAORA</vt:lpstr>
      <vt:lpstr>update_mail1!DATAORA</vt:lpstr>
      <vt:lpstr>DATAORA</vt:lpstr>
      <vt:lpstr>hld</vt:lpstr>
      <vt:lpstr>update_mail1!TabellaOrari</vt:lpstr>
      <vt:lpstr>TabellaOrari</vt:lpstr>
      <vt:lpstr>update_mail1!TEXTOBJECT</vt:lpstr>
      <vt:lpstr>TEXTOBJECT</vt:lpstr>
      <vt:lpstr>update_mail1!yyy</vt:lpstr>
      <vt:lpstr>yyy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lmonno</dc:creator>
  <cp:lastModifiedBy>Fabrizio Venettoni</cp:lastModifiedBy>
  <dcterms:created xsi:type="dcterms:W3CDTF">2011-11-21T11:38:48Z</dcterms:created>
  <dcterms:modified xsi:type="dcterms:W3CDTF">2018-11-03T20:08:34Z</dcterms:modified>
</cp:coreProperties>
</file>